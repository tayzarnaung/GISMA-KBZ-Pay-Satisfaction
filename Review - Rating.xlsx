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kyst\OneDrive\Desktop\"/>
    </mc:Choice>
  </mc:AlternateContent>
  <xr:revisionPtr revIDLastSave="0" documentId="13_ncr:1_{CBF668C3-6C8D-48C6-8183-3436EADBB5F4}" xr6:coauthVersionLast="47" xr6:coauthVersionMax="47" xr10:uidLastSave="{00000000-0000-0000-0000-000000000000}"/>
  <bookViews>
    <workbookView xWindow="-120" yWindow="-120" windowWidth="20730" windowHeight="11160" activeTab="2" xr2:uid="{878938BD-A99C-42FD-BBB6-CC5FA4760A62}"/>
  </bookViews>
  <sheets>
    <sheet name="Keywords" sheetId="1" r:id="rId1"/>
    <sheet name="Reviews" sheetId="2" r:id="rId2"/>
    <sheet name="Sheet3" sheetId="3" r:id="rId3"/>
  </sheets>
  <definedNames>
    <definedName name="_xlnm._FilterDatabase" localSheetId="1" hidden="1">Reviews!$A$1:$D$1501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2" l="1"/>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3" i="2"/>
  <c r="C2" i="2"/>
  <c r="D22" i="2" l="1"/>
  <c r="D2" i="2"/>
  <c r="D3" i="2"/>
</calcChain>
</file>

<file path=xl/sharedStrings.xml><?xml version="1.0" encoding="utf-8"?>
<sst xmlns="http://schemas.openxmlformats.org/spreadsheetml/2006/main" count="1574" uniqueCount="777">
  <si>
    <t>Positive</t>
  </si>
  <si>
    <t>Negative</t>
  </si>
  <si>
    <t>good</t>
  </si>
  <si>
    <t>bad</t>
  </si>
  <si>
    <t>great</t>
  </si>
  <si>
    <t>poor</t>
  </si>
  <si>
    <t>excellent</t>
  </si>
  <si>
    <t>not working</t>
  </si>
  <si>
    <t>love</t>
  </si>
  <si>
    <t>error</t>
  </si>
  <si>
    <t>best</t>
  </si>
  <si>
    <t>slow</t>
  </si>
  <si>
    <t>nice</t>
  </si>
  <si>
    <t>terrible</t>
  </si>
  <si>
    <t>happy</t>
  </si>
  <si>
    <t>hate</t>
  </si>
  <si>
    <t>amazing</t>
  </si>
  <si>
    <t>worst</t>
  </si>
  <si>
    <t>awesome</t>
  </si>
  <si>
    <t>failed</t>
  </si>
  <si>
    <t>perfect</t>
  </si>
  <si>
    <t>crash</t>
  </si>
  <si>
    <t>can't</t>
  </si>
  <si>
    <t>don't</t>
  </si>
  <si>
    <t>better</t>
  </si>
  <si>
    <t>very useful</t>
  </si>
  <si>
    <t>easy</t>
  </si>
  <si>
    <t>low</t>
  </si>
  <si>
    <t>Review</t>
  </si>
  <si>
    <t>Rating</t>
  </si>
  <si>
    <t>My acc my moneys</t>
  </si>
  <si>
    <t>Thank</t>
  </si>
  <si>
    <t>I'm asking for a face scan again to open an account</t>
  </si>
  <si>
    <t xml:space="preserve">good appointment for </t>
  </si>
  <si>
    <t>like</t>
  </si>
  <si>
    <t>GOOD APP FOR BUSINESS</t>
  </si>
  <si>
    <t>ok</t>
  </si>
  <si>
    <t>Good</t>
  </si>
  <si>
    <t>very good</t>
  </si>
  <si>
    <t>good app</t>
  </si>
  <si>
    <t>thank play store</t>
  </si>
  <si>
    <t>kpay is great</t>
  </si>
  <si>
    <t>Hey!</t>
  </si>
  <si>
    <t>Can't get back into kpay acc</t>
  </si>
  <si>
    <t>kolaythu</t>
  </si>
  <si>
    <t>It's a big scam app. I added 5K to my phone bill. It's gone. The phone bill didn't arrive. The money went out</t>
  </si>
  <si>
    <t>bad service,</t>
  </si>
  <si>
    <t>I don't like this app</t>
  </si>
  <si>
    <t>SoOkgood</t>
  </si>
  <si>
    <t>Nice App for payment</t>
  </si>
  <si>
    <t>so good</t>
  </si>
  <si>
    <t>don't use this software. you will lose all of your money. their customer service will not support you whatever you facing.</t>
  </si>
  <si>
    <t>Help you app dowload</t>
  </si>
  <si>
    <t>Very good</t>
  </si>
  <si>
    <t>I'm taking noti without registration.</t>
  </si>
  <si>
    <t>good lee</t>
  </si>
  <si>
    <t>Other banks service SMS and massage to receive money. Study other banks very well</t>
  </si>
  <si>
    <t>i like this@</t>
  </si>
  <si>
    <t>Using for best app</t>
  </si>
  <si>
    <t>Best</t>
  </si>
  <si>
    <t>It's convenient not to have to carry the money</t>
  </si>
  <si>
    <t>goid</t>
  </si>
  <si>
    <t>Why is recharge for some games not updating. It says ''Maintenance is Underway".</t>
  </si>
  <si>
    <t>you can app join very slowiy down</t>
  </si>
  <si>
    <t>Ok</t>
  </si>
  <si>
    <t>a lot of errors too disappointing</t>
  </si>
  <si>
    <t>ThawDar</t>
  </si>
  <si>
    <t>I can't download the software</t>
  </si>
  <si>
    <t>I can't add my money transfer phone number</t>
  </si>
  <si>
    <t>Need to " Dark mode" next update.</t>
  </si>
  <si>
    <t>Forgotten pin does not work</t>
  </si>
  <si>
    <t>It is easy to use and convenient because of its clear payment and strong security. It saves time.</t>
  </si>
  <si>
    <t>Good app</t>
  </si>
  <si>
    <t>tgankyou</t>
  </si>
  <si>
    <t>thank love you all</t>
  </si>
  <si>
    <t>very useful for me</t>
  </si>
  <si>
    <t>May they be healthy and prosperous</t>
  </si>
  <si>
    <t>good job</t>
  </si>
  <si>
    <t>Best App In Burma.</t>
  </si>
  <si>
    <t>help me</t>
  </si>
  <si>
    <t>xi</t>
  </si>
  <si>
    <t>Can't break through</t>
  </si>
  <si>
    <t>Majla.</t>
  </si>
  <si>
    <t>2 update</t>
  </si>
  <si>
    <t>it really good</t>
  </si>
  <si>
    <t>Lee Pet</t>
  </si>
  <si>
    <t>like thet</t>
  </si>
  <si>
    <t>goob</t>
  </si>
  <si>
    <t>t is fine and we do</t>
  </si>
  <si>
    <t>kplay</t>
  </si>
  <si>
    <t>Useful for me</t>
  </si>
  <si>
    <t>very good to use this app</t>
  </si>
  <si>
    <t>device change</t>
  </si>
  <si>
    <t>Hhuu</t>
  </si>
  <si>
    <t>thanksyou</t>
  </si>
  <si>
    <t>no update</t>
  </si>
  <si>
    <t>r?jt</t>
  </si>
  <si>
    <t>goots</t>
  </si>
  <si>
    <t>kyawgyi</t>
  </si>
  <si>
    <t>good live</t>
  </si>
  <si>
    <t>good to use</t>
  </si>
  <si>
    <t>please app down not??</t>
  </si>
  <si>
    <t>good.</t>
  </si>
  <si>
    <t>shitiest app ever I use.. it doesn't allow topping up to same number with same amount.</t>
  </si>
  <si>
    <t>good night baby</t>
  </si>
  <si>
    <t>My Mi-Phone cann`t use this app.Why?why?</t>
  </si>
  <si>
    <t>I like .</t>
  </si>
  <si>
    <t>Yas</t>
  </si>
  <si>
    <t>Government controlled bank</t>
  </si>
  <si>
    <t>When will the full upgrade come? I would like to add the ability to create your own password and PIN.</t>
  </si>
  <si>
    <t>Come on</t>
  </si>
  <si>
    <t>Thank you.For app</t>
  </si>
  <si>
    <t>Overall is great , but the annoying thing is ur kpay acc is automatically follow official accounts ( Like page/Advertising Channels ) however i unfollow them , it keeps coming a lot and tired of it. The user must have control of their own accounts not by force following even if they pay to put on the kpay official accounts list.</t>
  </si>
  <si>
    <t>Nice app</t>
  </si>
  <si>
    <t>Sometimes they hack</t>
  </si>
  <si>
    <t>not bed</t>
  </si>
  <si>
    <t>install</t>
  </si>
  <si>
    <t>err</t>
  </si>
  <si>
    <t>pha ngai..</t>
  </si>
  <si>
    <t>SaSai</t>
  </si>
  <si>
    <t>Because it is important, I have been verifying the opening of the account for several days</t>
  </si>
  <si>
    <t>appreciate</t>
  </si>
  <si>
    <t>KBZ Bank and UK city taunggyi Myanmar the grand Shan hotel and tour rental Inlay myanmar. family and friends</t>
  </si>
  <si>
    <t>I life like do.</t>
  </si>
  <si>
    <t>Nice</t>
  </si>
  <si>
    <t>All of you make a lot of money. The application is easy to use, but because of the account at KBZ Center, I can't complete the appointment. The other day, I sat and waited from 9:00 AM to 1:00 PM, then rescheduled the other day and you made a lot of money. I will also ask you to uninstall all of my community and knowledge.</t>
  </si>
  <si>
    <t>it's useful</t>
  </si>
  <si>
    <t>i need money</t>
  </si>
  <si>
    <t>Nnt.</t>
  </si>
  <si>
    <t>verygood</t>
  </si>
  <si>
    <t>Ko Soegyi's telephone</t>
  </si>
  <si>
    <t>Oh</t>
  </si>
  <si>
    <t>Good❤️</t>
  </si>
  <si>
    <t>Very Bad customer services ever.</t>
  </si>
  <si>
    <t>Good app thank</t>
  </si>
  <si>
    <t>QUERT@.KBZPAY piN May go and get it</t>
  </si>
  <si>
    <t>Love you all</t>
  </si>
  <si>
    <t>that's cool</t>
  </si>
  <si>
    <t>useful app</t>
  </si>
  <si>
    <t>low bank service quality</t>
  </si>
  <si>
    <t>app into not dainger good like</t>
  </si>
  <si>
    <t>Thanks you .This App regular to money payment</t>
  </si>
  <si>
    <t>htoomyat</t>
  </si>
  <si>
    <t>Nan Win Nila Khaing</t>
  </si>
  <si>
    <t>Really ? Hhfg</t>
  </si>
  <si>
    <t>good luck</t>
  </si>
  <si>
    <t>MaungMin</t>
  </si>
  <si>
    <t>Please help the people</t>
  </si>
  <si>
    <t>majala</t>
  </si>
  <si>
    <t>barry so myat</t>
  </si>
  <si>
    <t>khaing zin</t>
  </si>
  <si>
    <t>Why are there ads? It is a bank app for god sake. Please remove advertisements.</t>
  </si>
  <si>
    <t>my like</t>
  </si>
  <si>
    <t>Simple is good.</t>
  </si>
  <si>
    <t>KPay market seller cancelled my order reason being “Stock out” and yet still on seller listing even after cancellation. I'm starting to think seller hate discount coupon. This is ruining the thadingyut spirit!</t>
  </si>
  <si>
    <t>it's good</t>
  </si>
  <si>
    <t>Yingyou Lve</t>
  </si>
  <si>
    <t>Best popular vote</t>
  </si>
  <si>
    <t>Because you can fill the dirt bill</t>
  </si>
  <si>
    <t>not bad!</t>
  </si>
  <si>
    <t>pøkêmóñ</t>
  </si>
  <si>
    <t>SAIAUNGMURNG</t>
  </si>
  <si>
    <t>k pay</t>
  </si>
  <si>
    <t>good application</t>
  </si>
  <si>
    <t>GoodMoney</t>
  </si>
  <si>
    <t>ok very good</t>
  </si>
  <si>
    <t>⭐⭐⭐⭐⭐</t>
  </si>
  <si>
    <t>myo</t>
  </si>
  <si>
    <t>Not getting a grade</t>
  </si>
  <si>
    <t>Can't enter</t>
  </si>
  <si>
    <t>I will give you five stars if you can make unlimited deposits and withdrawals per day</t>
  </si>
  <si>
    <t>it is so useful</t>
  </si>
  <si>
    <t>so smart style of mobile and check out</t>
  </si>
  <si>
    <t>ThantZin Htwe</t>
  </si>
  <si>
    <t>Bad QoS service, even cannot participate in Thadingyut event. The events are like seductive events. I get only 1200 MMK in this event.</t>
  </si>
  <si>
    <t>poor connection..</t>
  </si>
  <si>
    <t>Can't take it because the weekend bread plan is a scam?</t>
  </si>
  <si>
    <t>so many bugs,lags and traffic errors</t>
  </si>
  <si>
    <t>verry good.</t>
  </si>
  <si>
    <t>Goog</t>
  </si>
  <si>
    <t>good pay</t>
  </si>
  <si>
    <t>l cant even open the account</t>
  </si>
  <si>
    <t>good good</t>
  </si>
  <si>
    <t>it so many error and so bad connection. it cannot solve our problem of their app error.</t>
  </si>
  <si>
    <t>Useful to get app</t>
  </si>
  <si>
    <t>Myanmar on the world</t>
  </si>
  <si>
    <t>draws</t>
  </si>
  <si>
    <t>I like is it</t>
  </si>
  <si>
    <t>currently so smooth</t>
  </si>
  <si>
    <t>I like this app</t>
  </si>
  <si>
    <t>good KBZ pay</t>
  </si>
  <si>
    <t>Easy to use, fully guaranteed</t>
  </si>
  <si>
    <t>Easy to transfer the cash each and every account.</t>
  </si>
  <si>
    <t>It is convenient to use.</t>
  </si>
  <si>
    <t>I want to be lucky</t>
  </si>
  <si>
    <t>Like</t>
  </si>
  <si>
    <t>Kpz pin</t>
  </si>
  <si>
    <t>Hhoo rymcnm</t>
  </si>
  <si>
    <t>It would be frustrating to have to go to the bank to log in with a new phone because our phone is broken. Instead, it would be better to have our account scanned using a facial recognition method.</t>
  </si>
  <si>
    <t>Good ..</t>
  </si>
  <si>
    <t>nice app</t>
  </si>
  <si>
    <t>kmkl kpay</t>
  </si>
  <si>
    <t>No update .No service. No top up.I have money in my account but I do no get top up .</t>
  </si>
  <si>
    <t>This App So Good For Use.</t>
  </si>
  <si>
    <t>goort mane</t>
  </si>
  <si>
    <t>For me , everything is Ok whem I'm with KBZPay.</t>
  </si>
  <si>
    <t>Redmi A5</t>
  </si>
  <si>
    <t>goodLuck Me</t>
  </si>
  <si>
    <t>Bad connection</t>
  </si>
  <si>
    <t>You need it</t>
  </si>
  <si>
    <t>4years</t>
  </si>
  <si>
    <t>good software</t>
  </si>
  <si>
    <t>very good kaypay</t>
  </si>
  <si>
    <t>Thinkyou KBZ PAY</t>
  </si>
  <si>
    <t>Please help me pay for Mytel Fiber Internet.</t>
  </si>
  <si>
    <t>very good and safe.</t>
  </si>
  <si>
    <t>Bad customer service !!! Worst application !!!</t>
  </si>
  <si>
    <t>everything ok! I like this app</t>
  </si>
  <si>
    <t>It's convenient to use, so far I've never had a problem with k pay.</t>
  </si>
  <si>
    <t>The latest version has an error. My phone is Oppo A18 android version 15. Customer service is telling me to log in with another phone. I don't give a convenient version. So I have to buy a new phone? How to pay?</t>
  </si>
  <si>
    <t>Sai Nyan Lin Hter</t>
  </si>
  <si>
    <t>It's pretty bad. I'm disappointed that I can't lose money because it's not high</t>
  </si>
  <si>
    <t>useful</t>
  </si>
  <si>
    <t>wer</t>
  </si>
  <si>
    <t>good thank</t>
  </si>
  <si>
    <t>kpay is convenient to use it is safe and secure.I like it very much</t>
  </si>
  <si>
    <t>Very good app for my business.</t>
  </si>
  <si>
    <t>I forgot my pin, so I can't login to acc. Please tell me how to do it.</t>
  </si>
  <si>
    <t>Depositing and withdrawing money almost everywhere is easy and fast.</t>
  </si>
  <si>
    <t>Why can't I change my phone number in the kbz pay account it's difficult but it's an amazing app, everything is fine but only one thing</t>
  </si>
  <si>
    <t>thank you</t>
  </si>
  <si>
    <t>I have linked Kpay acc to Banking and now I can't log in. What happened? It's never happened before</t>
  </si>
  <si>
    <t>Verygood</t>
  </si>
  <si>
    <t>so good for me</t>
  </si>
  <si>
    <t>fairness, harmony, useful for everyone</t>
  </si>
  <si>
    <t>Better</t>
  </si>
  <si>
    <t>what?love</t>
  </si>
  <si>
    <t>good apk</t>
  </si>
  <si>
    <t>It's very useful and very beneficial for people. May it improve even more.</t>
  </si>
  <si>
    <t>give me</t>
  </si>
  <si>
    <t>Thanks for Everything</t>
  </si>
  <si>
    <t>sms code</t>
  </si>
  <si>
    <t>likes</t>
  </si>
  <si>
    <t>App good</t>
  </si>
  <si>
    <t>rating</t>
  </si>
  <si>
    <t>Very bad banking service...</t>
  </si>
  <si>
    <t>It's a charm. I asked for my registration number when I returned the previous package, and I gave it to you again. There is something wrong with the registration number. Lee, I put it in front of the big register and entered the number. Is the registration I'm holding wrong? When I opened a new account, I couldn't take a photo where I was asked to add an identification photo. How can I do that? If you are angry from the beginning, you have to control yourself</t>
  </si>
  <si>
    <t>Thanks you.</t>
  </si>
  <si>
    <t>It's not good</t>
  </si>
  <si>
    <t>Nice app for office staff</t>
  </si>
  <si>
    <t>k.pay ayee</t>
  </si>
  <si>
    <t>fjfi</t>
  </si>
  <si>
    <t>very night</t>
  </si>
  <si>
    <t>I can't scan.</t>
  </si>
  <si>
    <t>Very Good</t>
  </si>
  <si>
    <t>nice KBZPay</t>
  </si>
  <si>
    <t>cool app</t>
  </si>
  <si>
    <t>ggod</t>
  </si>
  <si>
    <t>the best app</t>
  </si>
  <si>
    <t>K.B.Z.PAY APPLICATION """</t>
  </si>
  <si>
    <t>It would be good if K pay has login and forget password</t>
  </si>
  <si>
    <t>no good</t>
  </si>
  <si>
    <t>Easy to use but I felt not hundred percent safe</t>
  </si>
  <si>
    <t>I like this KBZpay</t>
  </si>
  <si>
    <t>AungMyatKyaw</t>
  </si>
  <si>
    <t>please</t>
  </si>
  <si>
    <t>Good appp</t>
  </si>
  <si>
    <t>kpay app installer</t>
  </si>
  <si>
    <t>Amazing</t>
  </si>
  <si>
    <t>App better</t>
  </si>
  <si>
    <t>Can't use every phone?</t>
  </si>
  <si>
    <t>scam app I brought steam gift card, and they gave me an already used card twice.i tell this to the kpay support and they did nothing just scammed money.Most scam people use this app and kpay did nothing to stop the scarm.please use other app this app is easy to use but it have so many problems.</t>
  </si>
  <si>
    <t>Red mi 7A</t>
  </si>
  <si>
    <t>gooood good</t>
  </si>
  <si>
    <t>Why can't I transfer kpay acc from kbz bank acc?</t>
  </si>
  <si>
    <t>yuyu</t>
  </si>
  <si>
    <t>Easy to use and can use anywhere</t>
  </si>
  <si>
    <t>Very safe and easy to use</t>
  </si>
  <si>
    <t>Thinkyou</t>
  </si>
  <si>
    <t>i like it</t>
  </si>
  <si>
    <t>Great</t>
  </si>
  <si>
    <t>Unreliable</t>
  </si>
  <si>
    <t>Chitchit</t>
  </si>
  <si>
    <t>very nice</t>
  </si>
  <si>
    <t>Sai Kham Pan</t>
  </si>
  <si>
    <t>Transfer money</t>
  </si>
  <si>
    <t>OK</t>
  </si>
  <si>
    <t>app download</t>
  </si>
  <si>
    <t>Ok good</t>
  </si>
  <si>
    <t>I can't download</t>
  </si>
  <si>
    <t>Daw Lay Lay Myint</t>
  </si>
  <si>
    <t>I can't google play store update.</t>
  </si>
  <si>
    <t>Slots oF Vegas.but</t>
  </si>
  <si>
    <t>unnecessary security update</t>
  </si>
  <si>
    <t>Child</t>
  </si>
  <si>
    <t>shwezinkhaing</t>
  </si>
  <si>
    <t>I will always work with k pay because it is more reliable</t>
  </si>
  <si>
    <t>stu</t>
  </si>
  <si>
    <t>my heart</t>
  </si>
  <si>
    <t>❤️❤️</t>
  </si>
  <si>
    <t>Hi good app</t>
  </si>
  <si>
    <t>Do you issue kpay?</t>
  </si>
  <si>
    <t>Let's use the KBZ account to cover the money lost</t>
  </si>
  <si>
    <t>Yar Mu</t>
  </si>
  <si>
    <t>No secure data,a lot o people lost their money from app, and no responsibility.</t>
  </si>
  <si>
    <t>verygoood</t>
  </si>
  <si>
    <t>okokgood</t>
  </si>
  <si>
    <t>My went level 2</t>
  </si>
  <si>
    <t>open KBZ</t>
  </si>
  <si>
    <t>pkku</t>
  </si>
  <si>
    <t>Happy</t>
  </si>
  <si>
    <t>like this app</t>
  </si>
  <si>
    <t>goog</t>
  </si>
  <si>
    <t>It's so cool</t>
  </si>
  <si>
    <t>Because it will run out</t>
  </si>
  <si>
    <t>Easy to use and useful for purchasing. Thanks Kpay. edited: in this moment, when it was using, it appeared with next web browser in. it means, has two boxes in one app. please, check your software double for customers.</t>
  </si>
  <si>
    <t>Thank you.</t>
  </si>
  <si>
    <t>ees</t>
  </si>
  <si>
    <t>bissnauss</t>
  </si>
  <si>
    <t>Suck</t>
  </si>
  <si>
    <t>Learn more</t>
  </si>
  <si>
    <t>ok good.</t>
  </si>
  <si>
    <t>l like this</t>
  </si>
  <si>
    <t>i went to use tis app</t>
  </si>
  <si>
    <t>Very good kpz pay</t>
  </si>
  <si>
    <t>Pay</t>
  </si>
  <si>
    <t>SoeLinAung</t>
  </si>
  <si>
    <t>Safe ,easy and many type of payment method.</t>
  </si>
  <si>
    <t>Yeah baby</t>
  </si>
  <si>
    <t>mg mg lwin</t>
  </si>
  <si>
    <t>I like it</t>
  </si>
  <si>
    <t>saiwanathu</t>
  </si>
  <si>
    <t>KBZ pay is safe for transferring. And it is useful App.</t>
  </si>
  <si>
    <t>So good</t>
  </si>
  <si>
    <t>Verry Verry Good</t>
  </si>
  <si>
    <t>It totally good for users to use.</t>
  </si>
  <si>
    <t>nice Myanmar</t>
  </si>
  <si>
    <t>aung khant</t>
  </si>
  <si>
    <t>Very good to use</t>
  </si>
  <si>
    <t>not bad</t>
  </si>
  <si>
    <t>Thanks you</t>
  </si>
  <si>
    <t>GOOD</t>
  </si>
  <si>
    <t>kop</t>
  </si>
  <si>
    <t>Can't open acc</t>
  </si>
  <si>
    <t>Open an account</t>
  </si>
  <si>
    <t>Min khant koko</t>
  </si>
  <si>
    <t>Female dogs</t>
  </si>
  <si>
    <t>Talking</t>
  </si>
  <si>
    <t>usefull app for me.</t>
  </si>
  <si>
    <t>Can't download Kbz pay app again</t>
  </si>
  <si>
    <t>I have to wait 10 minutes to talk to customer service on the phone</t>
  </si>
  <si>
    <t>easy for everyone</t>
  </si>
  <si>
    <t>Very bad customer service</t>
  </si>
  <si>
    <t>It's okay, poem</t>
  </si>
  <si>
    <t>So Good</t>
  </si>
  <si>
    <t>okokok okokok</t>
  </si>
  <si>
    <t>I can't get back into the account</t>
  </si>
  <si>
    <t>Animal meeting</t>
  </si>
  <si>
    <t>Sansung</t>
  </si>
  <si>
    <t>This app is easy to use when my wifi connection strong. I like this app.</t>
  </si>
  <si>
    <t>I like that it.</t>
  </si>
  <si>
    <t>good rights</t>
  </si>
  <si>
    <t>good services</t>
  </si>
  <si>
    <t>☺️☺️☺️</t>
  </si>
  <si>
    <t>You're good</t>
  </si>
  <si>
    <t>I love it</t>
  </si>
  <si>
    <t>Help me my acc</t>
  </si>
  <si>
    <t>Of course,</t>
  </si>
  <si>
    <t>use</t>
  </si>
  <si>
    <t>At Kpay call center Mandalay 89 Street 22 23, due to the imbalance between employees and customers, the service principle may be adversely affected (the employee who can investigate for the customer should do this) Token should be taken only when the customer has a problem / While the employees are solving the problem with the customer, it is delayed due to another customer entering and investigating (29-8-2025)</t>
  </si>
  <si>
    <t>op</t>
  </si>
  <si>
    <t>why login</t>
  </si>
  <si>
    <t>myo thu</t>
  </si>
  <si>
    <t>Account opening 7</t>
  </si>
  <si>
    <t>come</t>
  </si>
  <si>
    <t>Reviews are public and clear and Rate This apps</t>
  </si>
  <si>
    <t>this device no root</t>
  </si>
  <si>
    <t>Thant zin tun</t>
  </si>
  <si>
    <t>AungMyoZaw</t>
  </si>
  <si>
    <t>lee roots?</t>
  </si>
  <si>
    <t>kyawthiha</t>
  </si>
  <si>
    <t>How are you?I am fine too. My name is MgMg.My father name is Oo Mya and my mother name is Daw Hla.</t>
  </si>
  <si>
    <t>Thanks so much. This App is so nice.</t>
  </si>
  <si>
    <t>i like this</t>
  </si>
  <si>
    <t>Save and easy to use almost people.</t>
  </si>
  <si>
    <t>kbzpay is very good.</t>
  </si>
  <si>
    <t>Low Security</t>
  </si>
  <si>
    <t>Lieybey 3</t>
  </si>
  <si>
    <t>Terrible customer service. There is no responsibility. I bought an X box gift card from kbz pay app. I was told by messenger and on the phone that the code was not returned.</t>
  </si>
  <si>
    <t>that pretty good for money</t>
  </si>
  <si>
    <t>Need to use Dark Mode such other wallet app.</t>
  </si>
  <si>
    <t>thank good</t>
  </si>
  <si>
    <t>thank</t>
  </si>
  <si>
    <t>5stars</t>
  </si>
  <si>
    <t>It's good</t>
  </si>
  <si>
    <t>Good.. but Problem my acc is hacker like! I don't know about that,now i not money! C u... kbz</t>
  </si>
  <si>
    <t>I can't activate kpay on my new phone. I've been to the bank, I've called 3211, I've asked them to do something to confirm, I've asked them to do things, and I've answered my questions.</t>
  </si>
  <si>
    <t>poor service</t>
  </si>
  <si>
    <t>i like kbzpay</t>
  </si>
  <si>
    <t>kpay app</t>
  </si>
  <si>
    <t>The Best Pay .</t>
  </si>
  <si>
    <t>Kpay innstall app</t>
  </si>
  <si>
    <t>I like</t>
  </si>
  <si>
    <t>Good. but unsave app</t>
  </si>
  <si>
    <t>I consider it to be one of the best banks.</t>
  </si>
  <si>
    <t>thank kpay working is good</t>
  </si>
  <si>
    <t>I love KBZ Pay app</t>
  </si>
  <si>
    <t>i can't use this application</t>
  </si>
  <si>
    <t>Can't open</t>
  </si>
  <si>
    <t>Okay</t>
  </si>
  <si>
    <t>I love</t>
  </si>
  <si>
    <t>Can't install on my Poco Tablet</t>
  </si>
  <si>
    <t>I can't log in again. It's disappointing</t>
  </si>
  <si>
    <t>It's convenient</t>
  </si>
  <si>
    <t>the latest version seems that it is not be available to all devices..</t>
  </si>
  <si>
    <t>gooooooood</t>
  </si>
  <si>
    <t>I like this app, because it help me to save money for the future.</t>
  </si>
  <si>
    <t>dear</t>
  </si>
  <si>
    <t>I have been sending my phone number and you don't even give me code!?</t>
  </si>
  <si>
    <t>Lee</t>
  </si>
  <si>
    <t>This app is so good for use</t>
  </si>
  <si>
    <t>Guaranteed, responsible, responsible, step-by-step to minimize errors, everything is done quickly and smoothly, and the app provides many service principles. It makes every family feel more warm. Please read the guide.</t>
  </si>
  <si>
    <t>very very good</t>
  </si>
  <si>
    <t>thank you. l cannot use kBZPay because my kBZPay is lock help me</t>
  </si>
  <si>
    <t>why my phonevshortuted</t>
  </si>
  <si>
    <t>ye naing</t>
  </si>
  <si>
    <t>i think it so good</t>
  </si>
  <si>
    <t>High withdrawal fees</t>
  </si>
  <si>
    <t>A lot of error when buying gift cards.Don't sent code or sent the code that has already been used. Even when I contact custom service no one reply. Even Game customer service are availabe 24/7 but this app? This app has customer service that is 24/7 UNAVAILABLE</t>
  </si>
  <si>
    <t>Okpl</t>
  </si>
  <si>
    <t>Even topping up L33 is going round and round with errors</t>
  </si>
  <si>
    <t>that apk is safe for our money goog good good good good good good good good</t>
  </si>
  <si>
    <t>Good pay methods and money easy currency of Myanmar</t>
  </si>
  <si>
    <t>Did this app just scammed me? I recharged 30k into my SIM card balance and it's nowhere to be found.</t>
  </si>
  <si>
    <t>Noti has been paying attention lately. If you turn it off, you won't know if you transition, so it's inconvenient. Advertising notices.</t>
  </si>
  <si>
    <t>Theinzaw</t>
  </si>
  <si>
    <t>Unreliable! never took responsibility for those who lost their money in device switch and they also lack security!</t>
  </si>
  <si>
    <t>verry good app</t>
  </si>
  <si>
    <t>use ful</t>
  </si>
  <si>
    <t>Open the crown</t>
  </si>
  <si>
    <t>very</t>
  </si>
  <si>
    <t>Verry good</t>
  </si>
  <si>
    <t>For me Ok</t>
  </si>
  <si>
    <t>okk</t>
  </si>
  <si>
    <t>save</t>
  </si>
  <si>
    <t>Useful application</t>
  </si>
  <si>
    <t>If KBZ Pay has an option to verify from viber, I would love to give five stars. For now, I can't even log in to my own account because of signal lost.</t>
  </si>
  <si>
    <t>nice apk</t>
  </si>
  <si>
    <t>regular</t>
  </si>
  <si>
    <t>Worst App And Worst Services</t>
  </si>
  <si>
    <t>bad update.log in difficult.</t>
  </si>
  <si>
    <t>nice and useful application for us.</t>
  </si>
  <si>
    <t>it is usefull</t>
  </si>
  <si>
    <t>Hi! I would like to report sth.I haven't used this acc for a couple of days and when I open this app it showed I need to put my pin.and all to login from the very start.I have everything needed for my login but not the 'Pin' I forgot what number are and forget to screenshot it .Pls help me login to my acc.</t>
  </si>
  <si>
    <t>My KBZ Update level...?</t>
  </si>
  <si>
    <t>This is my favorite app.</t>
  </si>
  <si>
    <t>useful application</t>
  </si>
  <si>
    <t>If K pay service is not available in every bank, it is not convenient</t>
  </si>
  <si>
    <t>In the old version, you can see the transaction message that you transferred to. Now you can't look back at the version, so how do you find the phone numbers that were scanned? If you upgrade the version, you will get a better service. Now, the only thing left is to promote more, and the easier use for the customer has decreased.</t>
  </si>
  <si>
    <t>face photo error</t>
  </si>
  <si>
    <t>good but sometime delay</t>
  </si>
  <si>
    <t>good jot</t>
  </si>
  <si>
    <t>it's too much steps to even change my pin!</t>
  </si>
  <si>
    <t>Soo good</t>
  </si>
  <si>
    <t>All right good. Than you, KBZpay is convenient almost every day. The best money transfer app. I want everyone to use KBZpay's favorite app. Thank you for being the number 1 app in Myanmar. Even on Magla day.</t>
  </si>
  <si>
    <t>kpay Up app plase</t>
  </si>
  <si>
    <t>Sai Zar Ni</t>
  </si>
  <si>
    <t>Good Pay Ment</t>
  </si>
  <si>
    <t>close app quickly.</t>
  </si>
  <si>
    <t>Like!</t>
  </si>
  <si>
    <t>very unite to use</t>
  </si>
  <si>
    <t>The real situation</t>
  </si>
  <si>
    <t>Because the SIM card is lost, people are forced to go through insignificant steps of registering and going back and forth to the account. This is a useless service. I will not use Kpay for the rest of my life. Sorry.</t>
  </si>
  <si>
    <t>Money doesn't come automatically.)</t>
  </si>
  <si>
    <t>excellent application</t>
  </si>
  <si>
    <t>learning</t>
  </si>
  <si>
    <t>Easy fill up my phone bill and take out money every where.</t>
  </si>
  <si>
    <t>good luck kpay</t>
  </si>
  <si>
    <t>Nice App</t>
  </si>
  <si>
    <t>good KBZPay</t>
  </si>
  <si>
    <t>verygoods</t>
  </si>
  <si>
    <t>good KBZ</t>
  </si>
  <si>
    <t>ok thank</t>
  </si>
  <si>
    <t>The Best app</t>
  </si>
  <si>
    <t>Very useful.</t>
  </si>
  <si>
    <t>I hope the development team can consider updating the UI to support edge-to-edge layout in future versions of the app for Android , as recommended by Google since Android 10.</t>
  </si>
  <si>
    <t>goodjob</t>
  </si>
  <si>
    <t>KBZ is not responsible</t>
  </si>
  <si>
    <t>goot</t>
  </si>
  <si>
    <t>good apps</t>
  </si>
  <si>
    <t>The app is loaded with alots of stuffs like online shopping,games and movies,making it very slow and feel heavy to use. Moreover,after making a transection,the promo ads popup(spin?) is so annoying.It always redirect to that promo page without my any consent</t>
  </si>
  <si>
    <t>Awesome</t>
  </si>
  <si>
    <t>Why not use it?</t>
  </si>
  <si>
    <t>phyoko</t>
  </si>
  <si>
    <t>♥️♥️♥️♥️♥️</t>
  </si>
  <si>
    <t>this app use verygood.</t>
  </si>
  <si>
    <t>Unable to open the account</t>
  </si>
  <si>
    <t>Mama Kay</t>
  </si>
  <si>
    <t>Why can't I open an account? I took ten photos of my face nine times, and the service is completely inadequate, but the information I entered is already complete.</t>
  </si>
  <si>
    <t>Kpay is convenient.</t>
  </si>
  <si>
    <t>My VIP</t>
  </si>
  <si>
    <t>Good to use</t>
  </si>
  <si>
    <t>Good pro</t>
  </si>
  <si>
    <t>Good Kpay</t>
  </si>
  <si>
    <t>I light this.</t>
  </si>
  <si>
    <t>It's Lee</t>
  </si>
  <si>
    <t>not working apk</t>
  </si>
  <si>
    <t>❤️</t>
  </si>
  <si>
    <t>I like this</t>
  </si>
  <si>
    <t>no problem</t>
  </si>
  <si>
    <t>please this device useful</t>
  </si>
  <si>
    <t>I want to open KBZapp</t>
  </si>
  <si>
    <t>very good.</t>
  </si>
  <si>
    <t>okey</t>
  </si>
  <si>
    <t>Why would pattern need to be visible? Please fix it. And, please also add fingerprint unlock.</t>
  </si>
  <si>
    <t>U thawma</t>
  </si>
  <si>
    <t>Uga</t>
  </si>
  <si>
    <t>Rating 0 If the phone is damaged, it is not possible to change the device. If you can't access the new phone because the phone is broken, you have to scan it from the old one. Another way is to schedule a video call from Virtual Customer Support in the Kpay app. But the last 2 Transactions must be told exactly. Even if it's broken, how can you tell?</t>
  </si>
  <si>
    <t>It would be good if you can return the original registration</t>
  </si>
  <si>
    <t>GOOD APP</t>
  </si>
  <si>
    <t>"Dear KBZPay Team, The new update's unlock methods are great! However, for phone resets when system password is forgotten, these options don't apply. Adding NCR Card verification (like WaveMoney) would be extremely helpful for such critical recovery. Still a top app, please consider NCR verification!"</t>
  </si>
  <si>
    <t>eazy using</t>
  </si>
  <si>
    <t>v 5.8.1 no download</t>
  </si>
  <si>
    <t>pay services only are convenient but notification from the other useless advertising made me mad , tried to unfollow all of the pages but the other days still following</t>
  </si>
  <si>
    <t>Easy and happy</t>
  </si>
  <si>
    <t>eeyutk good</t>
  </si>
  <si>
    <t>I like used Kbzpay</t>
  </si>
  <si>
    <t>can't down</t>
  </si>
  <si>
    <t>very good kpay</t>
  </si>
  <si>
    <t>ferail</t>
  </si>
  <si>
    <t>Service and Working too bad.</t>
  </si>
  <si>
    <t>Account Lavel 2 Update?</t>
  </si>
  <si>
    <t>Good ....</t>
  </si>
  <si>
    <t>It's nice</t>
  </si>
  <si>
    <t>Easy to use</t>
  </si>
  <si>
    <t>safe</t>
  </si>
  <si>
    <t>ok, thanks</t>
  </si>
  <si>
    <t>Why my device is't using this app?</t>
  </si>
  <si>
    <t>like me k pay</t>
  </si>
  <si>
    <t>It's a speedy range of money</t>
  </si>
  <si>
    <t>good service</t>
  </si>
  <si>
    <t>like to kpay</t>
  </si>
  <si>
    <t>This application more difficulties for Myanmar People. So, that we can't believe this app.</t>
  </si>
  <si>
    <t>Kpay is good digital wallets</t>
  </si>
  <si>
    <t>It would be better if you could easily raise the left 2 field</t>
  </si>
  <si>
    <t>It's not good. It's only been 1 or 2 months since I opened the acc. It logged out and now I can't get back in at all. I forgot my pin number and there's nothing to fix. I'm really fed up. I can change my pin from wave.</t>
  </si>
  <si>
    <t>I like kbz pay.</t>
  </si>
  <si>
    <t>Great App for myanmar people</t>
  </si>
  <si>
    <t>good very good</t>
  </si>
  <si>
    <t>good for me.</t>
  </si>
  <si>
    <t>accepted</t>
  </si>
  <si>
    <t>Usuaful app</t>
  </si>
  <si>
    <t>Better to use kpay software with payment software like wavepay</t>
  </si>
  <si>
    <t>Kpay is very useful to pay when sad chat</t>
  </si>
  <si>
    <t>bbbgood</t>
  </si>
  <si>
    <t>good.app.</t>
  </si>
  <si>
    <t>login problem</t>
  </si>
  <si>
    <t>Good apk</t>
  </si>
  <si>
    <t>I don't know but this application is very useful for me</t>
  </si>
  <si>
    <t>Now the update doesn't add money. Hey, let's uninstall the mml repair pillow app and re-install it. I have added more than 20,000,000, so I haven't decided yet. kmkl lee update</t>
  </si>
  <si>
    <t>thank all</t>
  </si>
  <si>
    <t>goodapp</t>
  </si>
  <si>
    <t>I don't like the updated version, It's not use on Redmi note 11 pro. auto logout , login is difficult. After filled code, the app is not logged in and not loading on the device. I tried many times but it's not logged in now for 2 days.</t>
  </si>
  <si>
    <t>yehtetzaung</t>
  </si>
  <si>
    <t>Very nice</t>
  </si>
  <si>
    <t>You cheated me.</t>
  </si>
  <si>
    <t>well</t>
  </si>
  <si>
    <t>All of One</t>
  </si>
  <si>
    <t>Thank you for making it easy and convenient</t>
  </si>
  <si>
    <t>Good.</t>
  </si>
  <si>
    <t>ok right</t>
  </si>
  <si>
    <t>It is easy to transfer but it takes long to fill or can't fill phone bill</t>
  </si>
  <si>
    <t>Seriously, it says it had sent sms code to my number but nothing arrived till 4 hours later. Then, it says the code is wrong. What am I supposed to do?</t>
  </si>
  <si>
    <t>Phone change</t>
  </si>
  <si>
    <t>kolay</t>
  </si>
  <si>
    <t>How can I do it because I don't have the kpay sms code?</t>
  </si>
  <si>
    <t>I can't top up my phone</t>
  </si>
  <si>
    <t>Kbzpay Thankyou</t>
  </si>
  <si>
    <t>I like it.</t>
  </si>
  <si>
    <t>This app use is good</t>
  </si>
  <si>
    <t>Why can't the old version work?</t>
  </si>
  <si>
    <t>Smile</t>
  </si>
  <si>
    <t>Still need service, slow to work</t>
  </si>
  <si>
    <t>It's kbz that I trust</t>
  </si>
  <si>
    <t>good .&amp;</t>
  </si>
  <si>
    <t>Good kbz</t>
  </si>
  <si>
    <t>paye phyo</t>
  </si>
  <si>
    <t>ok thanks</t>
  </si>
  <si>
    <t>I can't top up my phone, please help me</t>
  </si>
  <si>
    <t>Very easy and convenient to use, thank you.</t>
  </si>
  <si>
    <t>i bought robux from kpay app but i spent the money and i redemed the code but the redemed code is not working GIVE ME A REFUNDDDDD.</t>
  </si>
  <si>
    <t>It's good to use</t>
  </si>
  <si>
    <t>Perfect</t>
  </si>
  <si>
    <t>Breaking customer's rights.So Bad</t>
  </si>
  <si>
    <t>line lag</t>
  </si>
  <si>
    <t>i do'nt like app</t>
  </si>
  <si>
    <t>very good money app</t>
  </si>
  <si>
    <t>good. app</t>
  </si>
  <si>
    <t>Liked</t>
  </si>
  <si>
    <t>Help to use</t>
  </si>
  <si>
    <t>Bad customer service .</t>
  </si>
  <si>
    <t>Very nice app</t>
  </si>
  <si>
    <t>good job!</t>
  </si>
  <si>
    <t>very quick</t>
  </si>
  <si>
    <t>this app is useful easy play slotgame</t>
  </si>
  <si>
    <t>play mave</t>
  </si>
  <si>
    <t>In this modern world, the online payment system is very convenient for everyone to use, so it is very good to use.</t>
  </si>
  <si>
    <t>thanks you</t>
  </si>
  <si>
    <t>Not Connected</t>
  </si>
  <si>
    <t>cannot open</t>
  </si>
  <si>
    <t>like the app</t>
  </si>
  <si>
    <t>untrusted</t>
  </si>
  <si>
    <t>Thanks par</t>
  </si>
  <si>
    <t>Nice and Safe</t>
  </si>
  <si>
    <t>Night time kbz</t>
  </si>
  <si>
    <t>good for transfer money</t>
  </si>
  <si>
    <t>help me/ not install</t>
  </si>
  <si>
    <t>Very much for me</t>
  </si>
  <si>
    <t>ok very usefull app</t>
  </si>
  <si>
    <t>I want the app to be light and easy to use</t>
  </si>
  <si>
    <t>ดี</t>
  </si>
  <si>
    <t>This application is easy and fast for transferring money, recharging phone bills, and more.</t>
  </si>
  <si>
    <t>Disappointing service</t>
  </si>
  <si>
    <t>MY FAVORITE</t>
  </si>
  <si>
    <t>Saipom</t>
  </si>
  <si>
    <t>good yes</t>
  </si>
  <si>
    <t>why my account disappears if i stopped using it sometimes, I got to re log in every time, every week when I'm just not using it for 3 days, my account is gone, I hate this, are you gonna fixed it or not?</t>
  </si>
  <si>
    <t>I don't like</t>
  </si>
  <si>
    <t>good payment</t>
  </si>
  <si>
    <t>dowloads fill</t>
  </si>
  <si>
    <t>My like is</t>
  </si>
  <si>
    <t>verry good</t>
  </si>
  <si>
    <t>Can I open kpay by myself?</t>
  </si>
  <si>
    <t>Your service was bad</t>
  </si>
  <si>
    <t>the worst thing of this App is not compatible for every device. I feel like I'm being discriminated!</t>
  </si>
  <si>
    <t>I'm not comfortable anymore after that</t>
  </si>
  <si>
    <t>vary convenient</t>
  </si>
  <si>
    <t>Myanmar's first app that doesn't do anything when you ask for help because you've been scammed</t>
  </si>
  <si>
    <t>this app is important</t>
  </si>
  <si>
    <t>So cool very good</t>
  </si>
  <si>
    <t>i cannot use in my VIVO Y66</t>
  </si>
  <si>
    <t>forget passwor</t>
  </si>
  <si>
    <t>Not Bad</t>
  </si>
  <si>
    <t>I can't get back into the acc. The phone is new. Even if I log in with my own phone number, I'm doing more verification. I'll show you all my personal information. If you wait, I'm asking for permission from the old phone.</t>
  </si>
  <si>
    <t>Oki good APK innocent like</t>
  </si>
  <si>
    <t>Kayla</t>
  </si>
  <si>
    <t>very like</t>
  </si>
  <si>
    <t>Good performance</t>
  </si>
  <si>
    <t>help me ! i can't used kbz apk.</t>
  </si>
  <si>
    <t>thankyouapp</t>
  </si>
  <si>
    <t>Is not bad</t>
  </si>
  <si>
    <t>It's not reliable</t>
  </si>
  <si>
    <t>To the owner .... After releasing the update, make sure that that updating is suitable for every devices. If not ,that update is useless update. Be careful . That's about money. Pay more attention for your new updates.</t>
  </si>
  <si>
    <t>this nice</t>
  </si>
  <si>
    <t>so good I'm like,</t>
  </si>
  <si>
    <t>sitaung</t>
  </si>
  <si>
    <t>Not safety app</t>
  </si>
  <si>
    <t>Thank.</t>
  </si>
  <si>
    <t>easy pay for all payment</t>
  </si>
  <si>
    <t>5star</t>
  </si>
  <si>
    <t>Good kbzpay</t>
  </si>
  <si>
    <t>My Office like</t>
  </si>
  <si>
    <t>Fail. App</t>
  </si>
  <si>
    <t>Good luck</t>
  </si>
  <si>
    <t>give me cash back</t>
  </si>
  <si>
    <t>Sever good</t>
  </si>
  <si>
    <t>use to easy apk</t>
  </si>
  <si>
    <t>I'm stuck every now and then</t>
  </si>
  <si>
    <t>thankyou</t>
  </si>
  <si>
    <t>login my account now confirm me</t>
  </si>
  <si>
    <t>cannot update latest version</t>
  </si>
  <si>
    <t>☺️</t>
  </si>
  <si>
    <t>I don't like this new update!because I'm very busy.i can't go to the bank.why did they do QR code?So,you will delete this QR code system.i don't like this system.i hate this system!</t>
  </si>
  <si>
    <t>good use</t>
  </si>
  <si>
    <t>good luck.</t>
  </si>
  <si>
    <t>yes excellent banking service</t>
  </si>
  <si>
    <t>ᐂႅႅᗩᗩ</t>
  </si>
  <si>
    <t>so smooth to transfer money.</t>
  </si>
  <si>
    <t>I always ♥️ ❤️ use app very successful good</t>
  </si>
  <si>
    <t>is not ok</t>
  </si>
  <si>
    <t>Ok good thank. Good luck.</t>
  </si>
  <si>
    <t>I wonder what the pin number says</t>
  </si>
  <si>
    <t>Like Scarecrow</t>
  </si>
  <si>
    <t>low service</t>
  </si>
  <si>
    <t>it's a very good super duper app</t>
  </si>
  <si>
    <t>ok.thank</t>
  </si>
  <si>
    <t>mai lay</t>
  </si>
  <si>
    <t>Can't log in.</t>
  </si>
  <si>
    <t>can't. open</t>
  </si>
  <si>
    <t>KBZ pay app is good but some problem what we have using this app, Kbz pay center and Call center give us bad service, waiting time is so long, call center ph is ever busy and their answers are very confuse.</t>
  </si>
  <si>
    <t>My like</t>
  </si>
  <si>
    <t>Please My Acc Login Why Z????</t>
  </si>
  <si>
    <t>great job</t>
  </si>
  <si>
    <t>Great fun</t>
  </si>
  <si>
    <t>Gread</t>
  </si>
  <si>
    <t>I like to KBZ BANK . COM.Thank KBZ</t>
  </si>
  <si>
    <t>Thank you so much,easy use and excellent application.</t>
  </si>
  <si>
    <t>Not bad</t>
  </si>
  <si>
    <t>Very nice.</t>
  </si>
  <si>
    <t>good for use</t>
  </si>
  <si>
    <t>faster and secure transaction E-wallet app</t>
  </si>
  <si>
    <t>Can't use it</t>
  </si>
  <si>
    <t>Good app I like KBZ pay</t>
  </si>
  <si>
    <t>Allow login</t>
  </si>
  <si>
    <t>OK good Thanks for the</t>
  </si>
  <si>
    <t>electric bill has issues, show Null when we press pay...please double check your apps.</t>
  </si>
  <si>
    <t>Thank you so musx kbz</t>
  </si>
  <si>
    <t>so nice</t>
  </si>
  <si>
    <t>The best application</t>
  </si>
  <si>
    <t>not using my device</t>
  </si>
  <si>
    <t>It is very save app for everyone.</t>
  </si>
  <si>
    <t>Worst service......rude staffs.... irresponsible officials.... I don't really want to give only one star . But I give one star to post my review. BAD KBZ .</t>
  </si>
  <si>
    <t>Love it</t>
  </si>
  <si>
    <t>lack of security</t>
  </si>
  <si>
    <t>good. services like this</t>
  </si>
  <si>
    <t>good appq</t>
  </si>
  <si>
    <t>3years taungoo work ok</t>
  </si>
  <si>
    <t>I have done all the services, why can't I enter KBZ PAY?</t>
  </si>
  <si>
    <t>Nowadays; customers are facing with the problem of new device login problem and this is very bad system</t>
  </si>
  <si>
    <t>Let's get Android ver 7. The update version 8 is not working.</t>
  </si>
  <si>
    <t>Advertising industry and those who are sitting on the server and sending messages are not good at all. The purpose of the message is to see this Apk. I am sending love psycho....</t>
  </si>
  <si>
    <t>This kbzpay Give over rating</t>
  </si>
  <si>
    <t>I want to get my account back</t>
  </si>
  <si>
    <t>I all accept</t>
  </si>
  <si>
    <t>So nice ☺️</t>
  </si>
  <si>
    <t>Nồồốႅႅọọềọệ</t>
  </si>
  <si>
    <t>to save</t>
  </si>
  <si>
    <t>I like this mobile wallet</t>
  </si>
  <si>
    <t>So fast &amp; use easy</t>
  </si>
  <si>
    <t>How much does it cost to use the phone in advance?</t>
  </si>
  <si>
    <t>Now I think I can use my phone and kpay account</t>
  </si>
  <si>
    <t>how do I change my number, it doesn't show an option for a u.s number</t>
  </si>
  <si>
    <t>very good application.</t>
  </si>
  <si>
    <t>naing</t>
  </si>
  <si>
    <t>I can't remember the phone number, how can I do it?</t>
  </si>
  <si>
    <t>sogood</t>
  </si>
  <si>
    <t>open loe ma ya bu</t>
  </si>
  <si>
    <t>The current version doesn't work because the phone is not rooted, and when I enter the app, it exits</t>
  </si>
  <si>
    <t>Is your mother sending me noti's even though she's missing me?</t>
  </si>
  <si>
    <t>money misappropriation</t>
  </si>
  <si>
    <t>You don't have a choice to unfollow KBZPay Market. Like it or not, they will push notifications to you.</t>
  </si>
  <si>
    <t>Allow me to apply again</t>
  </si>
  <si>
    <t>Shweaye</t>
  </si>
  <si>
    <t>Good yes</t>
  </si>
  <si>
    <t>i donit like this vision i not wanted this app now i phone chang comform for qr my phone in service . i now very wand using pay what i doing</t>
  </si>
  <si>
    <t>ok bro</t>
  </si>
  <si>
    <t>There is evidence that the office is accepting money and doing things that will not solve the problem that is really needed.</t>
  </si>
  <si>
    <t>No code</t>
  </si>
  <si>
    <t>app goods.</t>
  </si>
  <si>
    <t>sweet</t>
  </si>
  <si>
    <t>okok</t>
  </si>
  <si>
    <t>thz.</t>
  </si>
  <si>
    <t>Thank alought</t>
  </si>
  <si>
    <t>good service Kay</t>
  </si>
  <si>
    <t>Formula</t>
  </si>
  <si>
    <t>veryuseful</t>
  </si>
  <si>
    <t>AVERAGE</t>
  </si>
  <si>
    <t>Device Type</t>
  </si>
  <si>
    <t>Average Rating</t>
  </si>
  <si>
    <t>Frequency</t>
  </si>
  <si>
    <t>Percentage</t>
  </si>
  <si>
    <t>Phone</t>
  </si>
  <si>
    <t>Tablet</t>
  </si>
  <si>
    <t>Total</t>
  </si>
  <si>
    <t>Month</t>
  </si>
  <si>
    <t>Apr – May, 2025</t>
  </si>
  <si>
    <t>Jun – Jul, 2025</t>
  </si>
  <si>
    <t>Aug – Sep, 2025</t>
  </si>
  <si>
    <t>Oct – Nov, 2025</t>
  </si>
  <si>
    <t>Emoji</t>
  </si>
  <si>
    <t>Neutral</t>
  </si>
  <si>
    <t>Nil</t>
  </si>
  <si>
    <t>Language</t>
  </si>
  <si>
    <t>English</t>
  </si>
  <si>
    <t>Burmese</t>
  </si>
  <si>
    <t>Mixed</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</si>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</sst>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rgb="FF000000"/>
      <name val="Times New Roman"/>
      <family val="1"/>
    </font>
    <font>
      <b/>
      <sz val="12"/>
      <color rgb="FF000000"/>
      <name val="Times New Roman"/>
      <family val="1"/>
    </font>
  </fonts>
  <fills count="3">
    <fill>
      <patternFill patternType="none"/>
    </fill>
    <fill>
      <patternFill patternType="gray125"/>
    </fill>
    <fill>
      <patternFill patternType="solid">
        <fgColor rgb="FFFFFF0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2" fontId="0" fillId="2" borderId="0" xfId="0" applyNumberFormat="1" applyFill="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left" vertical="center" wrapText="1"/>
    </xf>
    <xf numFmtId="0" fontId="2" fillId="0" borderId="4" xfId="0" applyFont="1" applyBorder="1" applyAlignment="1">
      <alignment horizontal="center" vertical="center" wrapText="1"/>
    </xf>
    <xf numFmtId="9" fontId="2"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9" fontId="3" fillId="0" borderId="4"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Sheet3!$A$2</c:f>
              <c:strCache>
                <c:ptCount val="1"/>
                <c:pt idx="0">
                  <c:v>Phone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(Sheet3!$B$2,Sheet3!$D$2)</c:f>
              <c:numCache>
                <c:formatCode>0%</c:formatCode>
                <c:ptCount val="2"/>
                <c:pt idx="0" formatCode="General">
                  <c:v>4.54</c:v>
                </c:pt>
                <c:pt idx="1">
                  <c:v>0.84</c:v>
                </c:pt>
              </c:numCache>
            </c:numRef>
          </c:val>
          <c:extLst>
            <c:ext xmlns:c16="http://schemas.microsoft.com/office/drawing/2014/chart" uri="{C3380CC4-5D6E-409C-BE32-E72D297353CC}">
              <c16:uniqueId val="{00000000-DD79-4DC4-B44F-5E163A4305D2}"/>
            </c:ext>
          </c:extLst>
        </c:ser>
        <c:ser>
          <c:idx val="1"/>
          <c:order val="1"/>
          <c:tx>
            <c:strRef>
              <c:f>Sheet3!$A$3</c:f>
              <c:strCache>
                <c:ptCount val="1"/>
                <c:pt idx="0">
                  <c:v>Tablet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(Sheet3!$B$3,Sheet3!$D$3)</c:f>
              <c:numCache>
                <c:formatCode>0%</c:formatCode>
                <c:ptCount val="2"/>
                <c:pt idx="0" formatCode="General">
                  <c:v>4.01</c:v>
                </c:pt>
                <c:pt idx="1">
                  <c:v>0.16</c:v>
                </c:pt>
              </c:numCache>
            </c:numRef>
          </c:val>
          <c:extLst>
            <c:ext xmlns:c16="http://schemas.microsoft.com/office/drawing/2014/chart" uri="{C3380CC4-5D6E-409C-BE32-E72D297353CC}">
              <c16:uniqueId val="{00000001-DD79-4DC4-B44F-5E163A4305D2}"/>
            </c:ext>
          </c:extLst>
        </c:ser>
        <c:dLbls>
          <c:dLblPos val="inEnd"/>
          <c:showLegendKey val="0"/>
          <c:showVal val="1"/>
          <c:showCatName val="0"/>
          <c:showSerName val="0"/>
          <c:showPercent val="0"/>
          <c:showBubbleSize val="0"/>
        </c:dLbls>
        <c:gapWidth val="65"/>
        <c:axId val="403841903"/>
        <c:axId val="403836143"/>
      </c:barChart>
      <c:catAx>
        <c:axId val="4038419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3836143"/>
        <c:crosses val="autoZero"/>
        <c:auto val="1"/>
        <c:lblAlgn val="ctr"/>
        <c:lblOffset val="100"/>
        <c:noMultiLvlLbl val="0"/>
      </c:catAx>
      <c:valAx>
        <c:axId val="4038361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384190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Sheet3!$A$10:$A$13</c:f>
              <c:strCache>
                <c:ptCount val="4"/>
                <c:pt idx="0">
                  <c:v>Apr – May, 2025</c:v>
                </c:pt>
                <c:pt idx="1">
                  <c:v>Jun – Jul, 2025</c:v>
                </c:pt>
                <c:pt idx="2">
                  <c:v>Aug – Sep, 2025</c:v>
                </c:pt>
                <c:pt idx="3">
                  <c:v>Oct – Nov, 2025</c:v>
                </c:pt>
              </c:strCache>
            </c:strRef>
          </c:cat>
          <c:val>
            <c:numRef>
              <c:f>Sheet3!$B$10:$B$13</c:f>
              <c:numCache>
                <c:formatCode>General</c:formatCode>
                <c:ptCount val="4"/>
                <c:pt idx="0">
                  <c:v>4.5</c:v>
                </c:pt>
                <c:pt idx="1">
                  <c:v>3.5</c:v>
                </c:pt>
                <c:pt idx="2">
                  <c:v>3.9</c:v>
                </c:pt>
                <c:pt idx="3">
                  <c:v>4.2</c:v>
                </c:pt>
              </c:numCache>
            </c:numRef>
          </c:val>
          <c:smooth val="0"/>
          <c:extLst>
            <c:ext xmlns:c16="http://schemas.microsoft.com/office/drawing/2014/chart" uri="{C3380CC4-5D6E-409C-BE32-E72D297353CC}">
              <c16:uniqueId val="{00000000-5BD6-4DB9-A3B8-70AD82C15847}"/>
            </c:ext>
          </c:extLst>
        </c:ser>
        <c:dLbls>
          <c:dLblPos val="ctr"/>
          <c:showLegendKey val="0"/>
          <c:showVal val="1"/>
          <c:showCatName val="0"/>
          <c:showSerName val="0"/>
          <c:showPercent val="0"/>
          <c:showBubbleSize val="0"/>
        </c:dLbls>
        <c:marker val="1"/>
        <c:smooth val="0"/>
        <c:axId val="403835183"/>
        <c:axId val="403835663"/>
      </c:lineChart>
      <c:catAx>
        <c:axId val="403835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3835663"/>
        <c:crosses val="autoZero"/>
        <c:auto val="1"/>
        <c:lblAlgn val="ctr"/>
        <c:lblOffset val="100"/>
        <c:noMultiLvlLbl val="0"/>
      </c:catAx>
      <c:valAx>
        <c:axId val="403835663"/>
        <c:scaling>
          <c:orientation val="minMax"/>
        </c:scaling>
        <c:delete val="1"/>
        <c:axPos val="l"/>
        <c:numFmt formatCode="General" sourceLinked="1"/>
        <c:majorTickMark val="none"/>
        <c:minorTickMark val="none"/>
        <c:tickLblPos val="nextTo"/>
        <c:crossAx val="403835183"/>
        <c:crosses val="autoZero"/>
        <c:crossBetween val="between"/>
      </c:valAx>
      <c:spPr>
        <a:noFill/>
        <a:ln>
          <a:noFill/>
        </a:ln>
        <a:effectLst/>
      </c:spPr>
    </c:plotArea>
    <c:plotVisOnly val="1"/>
    <c:dispBlanksAs val="gap"/>
    <c:showDLblsOverMax val="0"/>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Sheet3!$A$18:$A$21</c:f>
              <c:strCache>
                <c:ptCount val="4"/>
                <c:pt idx="0">
                  <c:v>Positive</c:v>
                </c:pt>
                <c:pt idx="1">
                  <c:v>Neutral</c:v>
                </c:pt>
                <c:pt idx="2">
                  <c:v>Negative</c:v>
                </c:pt>
                <c:pt idx="3">
                  <c:v>Nil</c:v>
                </c:pt>
              </c:strCache>
            </c:strRef>
          </c:cat>
          <c:val>
            <c:numRef>
              <c:f>Sheet3!$B$18:$B$21</c:f>
              <c:numCache>
                <c:formatCode>General</c:formatCode>
                <c:ptCount val="4"/>
                <c:pt idx="0">
                  <c:v>4.0999999999999996</c:v>
                </c:pt>
                <c:pt idx="1">
                  <c:v>0</c:v>
                </c:pt>
                <c:pt idx="2">
                  <c:v>0</c:v>
                </c:pt>
                <c:pt idx="3">
                  <c:v>0</c:v>
                </c:pt>
              </c:numCache>
            </c:numRef>
          </c:val>
          <c:extLst>
            <c:ext xmlns:c16="http://schemas.microsoft.com/office/drawing/2014/chart" uri="{C3380CC4-5D6E-409C-BE32-E72D297353CC}">
              <c16:uniqueId val="{00000000-AD9A-4D5C-9E4C-5174A06FDBF0}"/>
            </c:ext>
          </c:extLst>
        </c:ser>
        <c:dLbls>
          <c:dLblPos val="inEnd"/>
          <c:showLegendKey val="0"/>
          <c:showVal val="1"/>
          <c:showCatName val="0"/>
          <c:showSerName val="0"/>
          <c:showPercent val="0"/>
          <c:showBubbleSize val="0"/>
        </c:dLbls>
        <c:gapWidth val="219"/>
        <c:overlap val="-27"/>
        <c:axId val="403837103"/>
        <c:axId val="403837583"/>
      </c:barChart>
      <c:catAx>
        <c:axId val="40383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37583"/>
        <c:crosses val="autoZero"/>
        <c:auto val="1"/>
        <c:lblAlgn val="ctr"/>
        <c:lblOffset val="100"/>
        <c:noMultiLvlLbl val="0"/>
      </c:catAx>
      <c:valAx>
        <c:axId val="40383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37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Sheet3!$A$25:$A$27</c:f>
              <c:strCache>
                <c:ptCount val="3"/>
                <c:pt idx="0">
                  <c:v>English</c:v>
                </c:pt>
                <c:pt idx="1">
                  <c:v>Burmese</c:v>
                </c:pt>
                <c:pt idx="2">
                  <c:v>Mixed</c:v>
                </c:pt>
              </c:strCache>
            </c:strRef>
          </c:cat>
          <c:val>
            <c:numRef>
              <c:f>Sheet3!$D$25:$D$27</c:f>
              <c:numCache>
                <c:formatCode>0%</c:formatCode>
                <c:ptCount val="3"/>
                <c:pt idx="0">
                  <c:v>0.9</c:v>
                </c:pt>
                <c:pt idx="1">
                  <c:v>0.06</c:v>
                </c:pt>
                <c:pt idx="2">
                  <c:v>0.04</c:v>
                </c:pt>
              </c:numCache>
            </c:numRef>
          </c:val>
          <c:extLst>
            <c:ext xmlns:c16="http://schemas.microsoft.com/office/drawing/2014/chart" uri="{C3380CC4-5D6E-409C-BE32-E72D297353CC}">
              <c16:uniqueId val="{00000000-987A-4EC5-99A9-CAAEB4BC8CE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Sheet3!$A$32:$A$34</c:f>
              <c:strCache>
                <c:ptCount val="3"/>
                <c:pt idx="0">
                  <c:v>Positive</c:v>
                </c:pt>
                <c:pt idx="1">
                  <c:v>Neutral</c:v>
                </c:pt>
                <c:pt idx="2">
                  <c:v>Negative</c:v>
                </c:pt>
              </c:strCache>
            </c:strRef>
          </c:cat>
          <c:val>
            <c:numRef>
              <c:f>Sheet3!$D$32:$D$34</c:f>
              <c:numCache>
                <c:formatCode>0%</c:formatCode>
                <c:ptCount val="3"/>
                <c:pt idx="0">
                  <c:v>0.53</c:v>
                </c:pt>
                <c:pt idx="1">
                  <c:v>0.28000000000000003</c:v>
                </c:pt>
                <c:pt idx="2">
                  <c:v>0.19</c:v>
                </c:pt>
              </c:numCache>
            </c:numRef>
          </c:val>
          <c:extLst>
            <c:ext xmlns:c16="http://schemas.microsoft.com/office/drawing/2014/chart" uri="{C3380CC4-5D6E-409C-BE32-E72D297353CC}">
              <c16:uniqueId val="{00000000-4C4D-42EC-93F5-D381212B11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1104900</xdr:colOff>
      <xdr:row>0</xdr:row>
      <xdr:rowOff>42862</xdr:rowOff>
    </xdr:from>
    <xdr:to>
      <xdr:col>8</xdr:col>
      <xdr:colOff>990600</xdr:colOff>
      <xdr:row>6</xdr:row>
      <xdr:rowOff>385762</xdr:rowOff>
    </xdr:to>
    <xdr:graphicFrame macro="">
      <xdr:nvGraphicFramePr>
        <xdr:cNvPr id="2" name="Chart 1">
          <a:extLst>
            <a:ext uri="{FF2B5EF4-FFF2-40B4-BE49-F238E27FC236}">
              <a16:creationId xmlns:a16="http://schemas.microsoft.com/office/drawing/2014/main" id="{64C73D85-FD3C-4665-3E1B-538A8E846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1066800</xdr:colOff>
      <xdr:row>7</xdr:row>
      <xdr:rowOff>261937</xdr:rowOff>
    </xdr:from>
    <xdr:to>
      <xdr:col>8</xdr:col>
      <xdr:colOff>952500</xdr:colOff>
      <xdr:row>14</xdr:row>
      <xdr:rowOff>204787</xdr:rowOff>
    </xdr:to>
    <xdr:graphicFrame macro="">
      <xdr:nvGraphicFramePr>
        <xdr:cNvPr id="3" name="Chart 2">
          <a:extLst>
            <a:ext uri="{FF2B5EF4-FFF2-40B4-BE49-F238E27FC236}">
              <a16:creationId xmlns:a16="http://schemas.microsoft.com/office/drawing/2014/main" id="{8896ACF7-F9C2-3C17-D191-A5B2D633C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1104900</xdr:colOff>
      <xdr:row>15</xdr:row>
      <xdr:rowOff>128587</xdr:rowOff>
    </xdr:from>
    <xdr:to>
      <xdr:col>8</xdr:col>
      <xdr:colOff>990600</xdr:colOff>
      <xdr:row>22</xdr:row>
      <xdr:rowOff>71437</xdr:rowOff>
    </xdr:to>
    <xdr:graphicFrame macro="">
      <xdr:nvGraphicFramePr>
        <xdr:cNvPr id="4" name="Chart 3">
          <a:extLst>
            <a:ext uri="{FF2B5EF4-FFF2-40B4-BE49-F238E27FC236}">
              <a16:creationId xmlns:a16="http://schemas.microsoft.com/office/drawing/2014/main" id="{E7D87BAA-1CAD-FA61-85E0-93954B9F3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1143000</xdr:colOff>
      <xdr:row>22</xdr:row>
      <xdr:rowOff>290512</xdr:rowOff>
    </xdr:from>
    <xdr:to>
      <xdr:col>8</xdr:col>
      <xdr:colOff>1028700</xdr:colOff>
      <xdr:row>29</xdr:row>
      <xdr:rowOff>233362</xdr:rowOff>
    </xdr:to>
    <xdr:graphicFrame macro="">
      <xdr:nvGraphicFramePr>
        <xdr:cNvPr id="5" name="Chart 4">
          <a:extLst>
            <a:ext uri="{FF2B5EF4-FFF2-40B4-BE49-F238E27FC236}">
              <a16:creationId xmlns:a16="http://schemas.microsoft.com/office/drawing/2014/main" id="{C99DAC02-5F8E-BD15-E9C3-211A9B4D4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1123950</xdr:colOff>
      <xdr:row>30</xdr:row>
      <xdr:rowOff>109537</xdr:rowOff>
    </xdr:from>
    <xdr:to>
      <xdr:col>8</xdr:col>
      <xdr:colOff>1009650</xdr:colOff>
      <xdr:row>37</xdr:row>
      <xdr:rowOff>52387</xdr:rowOff>
    </xdr:to>
    <xdr:graphicFrame macro="">
      <xdr:nvGraphicFramePr>
        <xdr:cNvPr id="6" name="Chart 5">
          <a:extLst>
            <a:ext uri="{FF2B5EF4-FFF2-40B4-BE49-F238E27FC236}">
              <a16:creationId xmlns:a16="http://schemas.microsoft.com/office/drawing/2014/main" id="{79412094-8384-EDC6-3314-4495DB949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994D4-BCA3-44F5-8C6D-45F068E78CDD}">
  <dimension ref="A1:B16"/>
  <sheetViews>
    <sheetView topLeftCell="A3" workbookViewId="0"/>
  </sheetViews>
  <sheetFormatPr defaultColWidth="14.85546875" defaultRowHeight="20.25" customHeight="1" x14ac:dyDescent="0.25"/>
  <sheetData>
    <row r="1" spans="1:2" ht="20.25" customHeight="1" x14ac:dyDescent="0.25">
      <c r="A1" s="1" t="s">
        <v>0</v>
      </c>
      <c r="B1" s="1" t="s">
        <v>1</v>
      </c>
    </row>
    <row r="2" spans="1:2" ht="20.25" customHeight="1" x14ac:dyDescent="0.25">
      <c r="A2" s="2" t="s">
        <v>2</v>
      </c>
      <c r="B2" s="2" t="s">
        <v>3</v>
      </c>
    </row>
    <row r="3" spans="1:2" ht="20.25" customHeight="1" x14ac:dyDescent="0.25">
      <c r="A3" s="2" t="s">
        <v>4</v>
      </c>
      <c r="B3" s="2" t="s">
        <v>5</v>
      </c>
    </row>
    <row r="4" spans="1:2" ht="20.25" customHeight="1" x14ac:dyDescent="0.25">
      <c r="A4" s="2" t="s">
        <v>6</v>
      </c>
      <c r="B4" s="2" t="s">
        <v>7</v>
      </c>
    </row>
    <row r="5" spans="1:2" ht="20.25" customHeight="1" x14ac:dyDescent="0.25">
      <c r="A5" s="2" t="s">
        <v>8</v>
      </c>
      <c r="B5" s="2" t="s">
        <v>9</v>
      </c>
    </row>
    <row r="6" spans="1:2" ht="20.25" customHeight="1" x14ac:dyDescent="0.25">
      <c r="A6" s="2" t="s">
        <v>10</v>
      </c>
      <c r="B6" s="2" t="s">
        <v>11</v>
      </c>
    </row>
    <row r="7" spans="1:2" ht="20.25" customHeight="1" x14ac:dyDescent="0.25">
      <c r="A7" s="2" t="s">
        <v>12</v>
      </c>
      <c r="B7" s="2" t="s">
        <v>13</v>
      </c>
    </row>
    <row r="8" spans="1:2" ht="20.25" customHeight="1" x14ac:dyDescent="0.25">
      <c r="A8" s="2" t="s">
        <v>14</v>
      </c>
      <c r="B8" s="2" t="s">
        <v>15</v>
      </c>
    </row>
    <row r="9" spans="1:2" ht="20.25" customHeight="1" x14ac:dyDescent="0.25">
      <c r="A9" s="2" t="s">
        <v>16</v>
      </c>
      <c r="B9" s="2" t="s">
        <v>17</v>
      </c>
    </row>
    <row r="10" spans="1:2" ht="20.25" customHeight="1" x14ac:dyDescent="0.25">
      <c r="A10" s="2" t="s">
        <v>18</v>
      </c>
      <c r="B10" s="2" t="s">
        <v>19</v>
      </c>
    </row>
    <row r="11" spans="1:2" ht="20.25" customHeight="1" x14ac:dyDescent="0.25">
      <c r="A11" s="2" t="s">
        <v>20</v>
      </c>
      <c r="B11" s="2" t="s">
        <v>21</v>
      </c>
    </row>
    <row r="12" spans="1:2" ht="20.25" customHeight="1" x14ac:dyDescent="0.25">
      <c r="A12" s="2" t="s">
        <v>24</v>
      </c>
      <c r="B12" s="2" t="s">
        <v>22</v>
      </c>
    </row>
    <row r="13" spans="1:2" ht="20.25" customHeight="1" x14ac:dyDescent="0.25">
      <c r="A13" s="2" t="s">
        <v>755</v>
      </c>
      <c r="B13" s="2" t="s">
        <v>23</v>
      </c>
    </row>
    <row r="14" spans="1:2" ht="20.25" customHeight="1" x14ac:dyDescent="0.25">
      <c r="A14" s="2" t="s">
        <v>26</v>
      </c>
      <c r="B14" s="2" t="s">
        <v>27</v>
      </c>
    </row>
    <row r="15" spans="1:2" ht="20.25" customHeight="1" x14ac:dyDescent="0.25">
      <c r="A15" s="2" t="s">
        <v>392</v>
      </c>
    </row>
    <row r="16" spans="1:2" ht="20.25" customHeight="1" x14ac:dyDescent="0.25">
      <c r="A16" s="2"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28695-CE14-4135-898C-3D3674ABFFEC}">
  <sheetPr filterMode="1"/>
  <dimension ref="A1:D1501"/>
  <sheetViews>
    <sheetView workbookViewId="0">
      <selection activeCell="C25" sqref="C25"/>
    </sheetView>
  </sheetViews>
  <sheetFormatPr defaultRowHeight="15" x14ac:dyDescent="0.25"/>
  <cols>
    <col min="1" max="1" width="48.85546875" customWidth="1"/>
    <col min="3" max="3" width="27.85546875" customWidth="1"/>
    <col min="4" max="4" width="14.28515625" customWidth="1"/>
  </cols>
  <sheetData>
    <row r="1" spans="1:4" s="3" customFormat="1" x14ac:dyDescent="0.25">
      <c r="A1" s="3" t="s">
        <v>28</v>
      </c>
      <c r="B1" s="3" t="s">
        <v>29</v>
      </c>
      <c r="C1" s="3" t="s">
        <v>754</v>
      </c>
      <c r="D1" s="3" t="s">
        <v>756</v>
      </c>
    </row>
    <row r="2" spans="1:4" x14ac:dyDescent="0.25">
      <c r="A2" t="s">
        <v>30</v>
      </c>
      <c r="B2">
        <v>1</v>
      </c>
      <c r="C2" t="str">
        <f>IF(AND(SUMPRODUCT(--ISNUMBER(SEARCH(TRIM(Keywords!$A$2:$A$16),A2)))&gt;0,
        SUMPRODUCT(--ISNUMBER(SEARCH(TRIM(Keywords!$B$2:$B$14),A2)))&gt;0),"Neutral",
IF(SUMPRODUCT(--ISNUMBER(SEARCH(TRIM(Keywords!$A$2:$A$16),A2)))&gt;0,"Positive",
IF(SUMPRODUCT(--ISNUMBER(SEARCH(TRIM(Keywords!$A$2:$B$14),A2)))&gt;0,"Negative","Neutral")))</f>
        <v>Neutral</v>
      </c>
      <c r="D2" s="4">
        <f>AVERAGEIF($C:$C,"Neutral",$B:$B)</f>
        <v>3.4007155635062611</v>
      </c>
    </row>
    <row r="3" spans="1:4" hidden="1" x14ac:dyDescent="0.25">
      <c r="A3" t="s">
        <v>31</v>
      </c>
      <c r="B3">
        <v>5</v>
      </c>
      <c r="C3" t="str">
        <f>IF(AND(SUMPRODUCT(--ISNUMBER(SEARCH(TRIM(Keywords!$A$2:$A$16),A3)))&gt;0,
        SUMPRODUCT(--ISNUMBER(SEARCH(TRIM(Keywords!$B$2:$B$14),A3)))&gt;0),"Neutral",
IF(SUMPRODUCT(--ISNUMBER(SEARCH(TRIM(Keywords!$A$2:$A$16),A3)))&gt;0,"Positive",
IF(SUMPRODUCT(--ISNUMBER(SEARCH(TRIM(Keywords!$A$2:$B$14),A3)))&gt;0,"Negative","Neutral")))</f>
        <v>Positive</v>
      </c>
      <c r="D3" s="4">
        <f>AVERAGEIF($C:$C,"Positive",$B:$B)</f>
        <v>4.6233611442193085</v>
      </c>
    </row>
    <row r="4" spans="1:4" x14ac:dyDescent="0.25">
      <c r="A4" t="s">
        <v>32</v>
      </c>
      <c r="B4">
        <v>3</v>
      </c>
      <c r="C4" t="str">
        <f>IF(AND(SUMPRODUCT(--ISNUMBER(SEARCH(TRIM(Keywords!$A$2:$A$16),A4)))&gt;0,
        SUMPRODUCT(--ISNUMBER(SEARCH(TRIM(Keywords!$B$2:$B$14),A4)))&gt;0),"Neutral",
IF(SUMPRODUCT(--ISNUMBER(SEARCH(TRIM(Keywords!$A$2:$A$16),A4)))&gt;0,"Positive",
IF(SUMPRODUCT(--ISNUMBER(SEARCH(TRIM(Keywords!$A$2:$B$14),A4)))&gt;0,"Negative","Neutral")))</f>
        <v>Neutral</v>
      </c>
    </row>
    <row r="5" spans="1:4" hidden="1" x14ac:dyDescent="0.25">
      <c r="A5" t="s">
        <v>33</v>
      </c>
      <c r="B5">
        <v>2</v>
      </c>
      <c r="C5" t="str">
        <f>IF(AND(SUMPRODUCT(--ISNUMBER(SEARCH(TRIM(Keywords!$A$2:$A$16),A5)))&gt;0,
        SUMPRODUCT(--ISNUMBER(SEARCH(TRIM(Keywords!$B$2:$B$14),A5)))&gt;0),"Neutral",
IF(SUMPRODUCT(--ISNUMBER(SEARCH(TRIM(Keywords!$A$2:$A$16),A5)))&gt;0,"Positive",
IF(SUMPRODUCT(--ISNUMBER(SEARCH(TRIM(Keywords!$A$2:$B$14),A5)))&gt;0,"Negative","Neutral")))</f>
        <v>Positive</v>
      </c>
    </row>
    <row r="6" spans="1:4" hidden="1" x14ac:dyDescent="0.25">
      <c r="A6" t="s">
        <v>2</v>
      </c>
      <c r="B6">
        <v>5</v>
      </c>
      <c r="C6" t="str">
        <f>IF(AND(SUMPRODUCT(--ISNUMBER(SEARCH(TRIM(Keywords!$A$2:$A$16),A6)))&gt;0,
        SUMPRODUCT(--ISNUMBER(SEARCH(TRIM(Keywords!$B$2:$B$14),A6)))&gt;0),"Neutral",
IF(SUMPRODUCT(--ISNUMBER(SEARCH(TRIM(Keywords!$A$2:$A$16),A6)))&gt;0,"Positive",
IF(SUMPRODUCT(--ISNUMBER(SEARCH(TRIM(Keywords!$A$2:$B$14),A6)))&gt;0,"Negative","Neutral")))</f>
        <v>Positive</v>
      </c>
    </row>
    <row r="7" spans="1:4" x14ac:dyDescent="0.25">
      <c r="A7" t="s">
        <v>34</v>
      </c>
      <c r="B7">
        <v>3</v>
      </c>
      <c r="C7" t="str">
        <f>IF(AND(SUMPRODUCT(--ISNUMBER(SEARCH(TRIM(Keywords!$A$2:$A$16),A7)))&gt;0,
        SUMPRODUCT(--ISNUMBER(SEARCH(TRIM(Keywords!$B$2:$B$14),A7)))&gt;0),"Neutral",
IF(SUMPRODUCT(--ISNUMBER(SEARCH(TRIM(Keywords!$A$2:$A$16),A7)))&gt;0,"Positive",
IF(SUMPRODUCT(--ISNUMBER(SEARCH(TRIM(Keywords!$A$2:$B$14),A7)))&gt;0,"Negative","Neutral")))</f>
        <v>Neutral</v>
      </c>
    </row>
    <row r="8" spans="1:4" hidden="1" x14ac:dyDescent="0.25">
      <c r="A8" t="s">
        <v>2</v>
      </c>
      <c r="B8">
        <v>4</v>
      </c>
      <c r="C8" t="str">
        <f>IF(AND(SUMPRODUCT(--ISNUMBER(SEARCH(TRIM(Keywords!$A$2:$A$16),A8)))&gt;0,
        SUMPRODUCT(--ISNUMBER(SEARCH(TRIM(Keywords!$B$2:$B$14),A8)))&gt;0),"Neutral",
IF(SUMPRODUCT(--ISNUMBER(SEARCH(TRIM(Keywords!$A$2:$A$16),A8)))&gt;0,"Positive",
IF(SUMPRODUCT(--ISNUMBER(SEARCH(TRIM(Keywords!$A$2:$B$14),A8)))&gt;0,"Negative","Neutral")))</f>
        <v>Positive</v>
      </c>
    </row>
    <row r="9" spans="1:4" hidden="1" x14ac:dyDescent="0.25">
      <c r="A9" t="s">
        <v>35</v>
      </c>
      <c r="B9">
        <v>5</v>
      </c>
      <c r="C9" t="str">
        <f>IF(AND(SUMPRODUCT(--ISNUMBER(SEARCH(TRIM(Keywords!$A$2:$A$16),A9)))&gt;0,
        SUMPRODUCT(--ISNUMBER(SEARCH(TRIM(Keywords!$B$2:$B$14),A9)))&gt;0),"Neutral",
IF(SUMPRODUCT(--ISNUMBER(SEARCH(TRIM(Keywords!$A$2:$A$16),A9)))&gt;0,"Positive",
IF(SUMPRODUCT(--ISNUMBER(SEARCH(TRIM(Keywords!$A$2:$B$14),A9)))&gt;0,"Negative","Neutral")))</f>
        <v>Positive</v>
      </c>
    </row>
    <row r="10" spans="1:4" hidden="1" x14ac:dyDescent="0.25">
      <c r="A10" t="s">
        <v>2</v>
      </c>
      <c r="B10">
        <v>4</v>
      </c>
      <c r="C10" t="str">
        <f>IF(AND(SUMPRODUCT(--ISNUMBER(SEARCH(TRIM(Keywords!$A$2:$A$16),A10)))&gt;0,
        SUMPRODUCT(--ISNUMBER(SEARCH(TRIM(Keywords!$B$2:$B$14),A10)))&gt;0),"Neutral",
IF(SUMPRODUCT(--ISNUMBER(SEARCH(TRIM(Keywords!$A$2:$A$16),A10)))&gt;0,"Positive",
IF(SUMPRODUCT(--ISNUMBER(SEARCH(TRIM(Keywords!$A$2:$B$14),A10)))&gt;0,"Negative","Neutral")))</f>
        <v>Positive</v>
      </c>
    </row>
    <row r="11" spans="1:4" x14ac:dyDescent="0.25">
      <c r="A11" t="s">
        <v>36</v>
      </c>
      <c r="B11">
        <v>3</v>
      </c>
      <c r="C11" t="str">
        <f>IF(AND(SUMPRODUCT(--ISNUMBER(SEARCH(TRIM(Keywords!$A$2:$A$16),A11)))&gt;0,
        SUMPRODUCT(--ISNUMBER(SEARCH(TRIM(Keywords!$B$2:$B$14),A11)))&gt;0),"Neutral",
IF(SUMPRODUCT(--ISNUMBER(SEARCH(TRIM(Keywords!$A$2:$A$16),A11)))&gt;0,"Positive",
IF(SUMPRODUCT(--ISNUMBER(SEARCH(TRIM(Keywords!$A$2:$B$14),A11)))&gt;0,"Negative","Neutral")))</f>
        <v>Neutral</v>
      </c>
    </row>
    <row r="12" spans="1:4" hidden="1" x14ac:dyDescent="0.25">
      <c r="A12" t="s">
        <v>37</v>
      </c>
      <c r="B12">
        <v>4</v>
      </c>
      <c r="C12" t="str">
        <f>IF(AND(SUMPRODUCT(--ISNUMBER(SEARCH(TRIM(Keywords!$A$2:$A$16),A12)))&gt;0,
        SUMPRODUCT(--ISNUMBER(SEARCH(TRIM(Keywords!$B$2:$B$14),A12)))&gt;0),"Neutral",
IF(SUMPRODUCT(--ISNUMBER(SEARCH(TRIM(Keywords!$A$2:$A$16),A12)))&gt;0,"Positive",
IF(SUMPRODUCT(--ISNUMBER(SEARCH(TRIM(Keywords!$A$2:$B$14),A12)))&gt;0,"Negative","Neutral")))</f>
        <v>Positive</v>
      </c>
    </row>
    <row r="13" spans="1:4" hidden="1" x14ac:dyDescent="0.25">
      <c r="A13" t="s">
        <v>37</v>
      </c>
      <c r="B13">
        <v>4</v>
      </c>
      <c r="C13" t="str">
        <f>IF(AND(SUMPRODUCT(--ISNUMBER(SEARCH(TRIM(Keywords!$A$2:$A$16),A13)))&gt;0,
        SUMPRODUCT(--ISNUMBER(SEARCH(TRIM(Keywords!$B$2:$B$14),A13)))&gt;0),"Neutral",
IF(SUMPRODUCT(--ISNUMBER(SEARCH(TRIM(Keywords!$A$2:$A$16),A13)))&gt;0,"Positive",
IF(SUMPRODUCT(--ISNUMBER(SEARCH(TRIM(Keywords!$A$2:$B$14),A13)))&gt;0,"Negative","Neutral")))</f>
        <v>Positive</v>
      </c>
    </row>
    <row r="14" spans="1:4" x14ac:dyDescent="0.25">
      <c r="A14" t="s">
        <v>36</v>
      </c>
      <c r="B14">
        <v>3</v>
      </c>
      <c r="C14" t="str">
        <f>IF(AND(SUMPRODUCT(--ISNUMBER(SEARCH(TRIM(Keywords!$A$2:$A$16),A14)))&gt;0,
        SUMPRODUCT(--ISNUMBER(SEARCH(TRIM(Keywords!$B$2:$B$14),A14)))&gt;0),"Neutral",
IF(SUMPRODUCT(--ISNUMBER(SEARCH(TRIM(Keywords!$A$2:$A$16),A14)))&gt;0,"Positive",
IF(SUMPRODUCT(--ISNUMBER(SEARCH(TRIM(Keywords!$A$2:$B$14),A14)))&gt;0,"Negative","Neutral")))</f>
        <v>Neutral</v>
      </c>
    </row>
    <row r="15" spans="1:4" hidden="1" x14ac:dyDescent="0.25">
      <c r="A15" t="s">
        <v>38</v>
      </c>
      <c r="B15">
        <v>5</v>
      </c>
      <c r="C15" t="str">
        <f>IF(AND(SUMPRODUCT(--ISNUMBER(SEARCH(TRIM(Keywords!$A$2:$A$16),A15)))&gt;0,
        SUMPRODUCT(--ISNUMBER(SEARCH(TRIM(Keywords!$B$2:$B$14),A15)))&gt;0),"Neutral",
IF(SUMPRODUCT(--ISNUMBER(SEARCH(TRIM(Keywords!$A$2:$A$16),A15)))&gt;0,"Positive",
IF(SUMPRODUCT(--ISNUMBER(SEARCH(TRIM(Keywords!$A$2:$B$14),A15)))&gt;0,"Negative","Neutral")))</f>
        <v>Positive</v>
      </c>
    </row>
    <row r="16" spans="1:4" x14ac:dyDescent="0.25">
      <c r="A16" t="s">
        <v>34</v>
      </c>
      <c r="B16">
        <v>3</v>
      </c>
      <c r="C16" t="str">
        <f>IF(AND(SUMPRODUCT(--ISNUMBER(SEARCH(TRIM(Keywords!$A$2:$A$16),A16)))&gt;0,
        SUMPRODUCT(--ISNUMBER(SEARCH(TRIM(Keywords!$B$2:$B$14),A16)))&gt;0),"Neutral",
IF(SUMPRODUCT(--ISNUMBER(SEARCH(TRIM(Keywords!$A$2:$A$16),A16)))&gt;0,"Positive",
IF(SUMPRODUCT(--ISNUMBER(SEARCH(TRIM(Keywords!$A$2:$B$14),A16)))&gt;0,"Negative","Neutral")))</f>
        <v>Neutral</v>
      </c>
    </row>
    <row r="17" spans="1:4" hidden="1" x14ac:dyDescent="0.25">
      <c r="A17" t="s">
        <v>37</v>
      </c>
      <c r="B17">
        <v>4</v>
      </c>
      <c r="C17" t="str">
        <f>IF(AND(SUMPRODUCT(--ISNUMBER(SEARCH(TRIM(Keywords!$A$2:$A$16),A17)))&gt;0,
        SUMPRODUCT(--ISNUMBER(SEARCH(TRIM(Keywords!$B$2:$B$14),A17)))&gt;0),"Neutral",
IF(SUMPRODUCT(--ISNUMBER(SEARCH(TRIM(Keywords!$A$2:$A$16),A17)))&gt;0,"Positive",
IF(SUMPRODUCT(--ISNUMBER(SEARCH(TRIM(Keywords!$A$2:$B$14),A17)))&gt;0,"Negative","Neutral")))</f>
        <v>Positive</v>
      </c>
    </row>
    <row r="18" spans="1:4" hidden="1" x14ac:dyDescent="0.25">
      <c r="A18" t="s">
        <v>39</v>
      </c>
      <c r="B18">
        <v>5</v>
      </c>
      <c r="C18" t="str">
        <f>IF(AND(SUMPRODUCT(--ISNUMBER(SEARCH(TRIM(Keywords!$A$2:$A$16),A18)))&gt;0,
        SUMPRODUCT(--ISNUMBER(SEARCH(TRIM(Keywords!$B$2:$B$14),A18)))&gt;0),"Neutral",
IF(SUMPRODUCT(--ISNUMBER(SEARCH(TRIM(Keywords!$A$2:$A$16),A18)))&gt;0,"Positive",
IF(SUMPRODUCT(--ISNUMBER(SEARCH(TRIM(Keywords!$A$2:$B$14),A18)))&gt;0,"Negative","Neutral")))</f>
        <v>Positive</v>
      </c>
    </row>
    <row r="19" spans="1:4" hidden="1" x14ac:dyDescent="0.25">
      <c r="A19" t="s">
        <v>40</v>
      </c>
      <c r="B19">
        <v>4</v>
      </c>
      <c r="C19" t="str">
        <f>IF(AND(SUMPRODUCT(--ISNUMBER(SEARCH(TRIM(Keywords!$A$2:$A$16),A19)))&gt;0,
        SUMPRODUCT(--ISNUMBER(SEARCH(TRIM(Keywords!$B$2:$B$14),A19)))&gt;0),"Neutral",
IF(SUMPRODUCT(--ISNUMBER(SEARCH(TRIM(Keywords!$A$2:$A$16),A19)))&gt;0,"Positive",
IF(SUMPRODUCT(--ISNUMBER(SEARCH(TRIM(Keywords!$A$2:$B$14),A19)))&gt;0,"Negative","Neutral")))</f>
        <v>Positive</v>
      </c>
    </row>
    <row r="20" spans="1:4" hidden="1" x14ac:dyDescent="0.25">
      <c r="A20" t="s">
        <v>41</v>
      </c>
      <c r="B20">
        <v>5</v>
      </c>
      <c r="C20" t="str">
        <f>IF(AND(SUMPRODUCT(--ISNUMBER(SEARCH(TRIM(Keywords!$A$2:$A$16),A20)))&gt;0,
        SUMPRODUCT(--ISNUMBER(SEARCH(TRIM(Keywords!$B$2:$B$14),A20)))&gt;0),"Neutral",
IF(SUMPRODUCT(--ISNUMBER(SEARCH(TRIM(Keywords!$A$2:$A$16),A20)))&gt;0,"Positive",
IF(SUMPRODUCT(--ISNUMBER(SEARCH(TRIM(Keywords!$A$2:$B$14),A20)))&gt;0,"Negative","Neutral")))</f>
        <v>Positive</v>
      </c>
    </row>
    <row r="21" spans="1:4" x14ac:dyDescent="0.25">
      <c r="A21" t="s">
        <v>42</v>
      </c>
      <c r="B21">
        <v>3</v>
      </c>
      <c r="C21" t="str">
        <f>IF(AND(SUMPRODUCT(--ISNUMBER(SEARCH(TRIM(Keywords!$A$2:$A$16),A21)))&gt;0,
        SUMPRODUCT(--ISNUMBER(SEARCH(TRIM(Keywords!$B$2:$B$14),A21)))&gt;0),"Neutral",
IF(SUMPRODUCT(--ISNUMBER(SEARCH(TRIM(Keywords!$A$2:$A$16),A21)))&gt;0,"Positive",
IF(SUMPRODUCT(--ISNUMBER(SEARCH(TRIM(Keywords!$A$2:$B$14),A21)))&gt;0,"Negative","Neutral")))</f>
        <v>Neutral</v>
      </c>
    </row>
    <row r="22" spans="1:4" hidden="1" x14ac:dyDescent="0.25">
      <c r="A22" t="s">
        <v>43</v>
      </c>
      <c r="B22">
        <v>1</v>
      </c>
      <c r="C22" t="str">
        <f>IF(AND(SUMPRODUCT(--ISNUMBER(SEARCH(TRIM(Keywords!$A$2:$A$16),A22)))&gt;0,
        SUMPRODUCT(--ISNUMBER(SEARCH(TRIM(Keywords!$B$2:$B$14),A22)))&gt;0),"Neutral",
IF(SUMPRODUCT(--ISNUMBER(SEARCH(TRIM(Keywords!$A$2:$A$16),A22)))&gt;0,"Positive",
IF(SUMPRODUCT(--ISNUMBER(SEARCH(TRIM(Keywords!$A$2:$B$14),A22)))&gt;0,"Negative","Neutral")))</f>
        <v>Negative</v>
      </c>
      <c r="D22" s="4">
        <f>AVERAGEIF($C:$C,"Negative",$B:$B)</f>
        <v>1.803921568627451</v>
      </c>
    </row>
    <row r="23" spans="1:4" x14ac:dyDescent="0.25">
      <c r="A23" t="s">
        <v>44</v>
      </c>
      <c r="B23">
        <v>1</v>
      </c>
      <c r="C23" t="str">
        <f>IF(AND(SUMPRODUCT(--ISNUMBER(SEARCH(TRIM(Keywords!$A$2:$A$16),A23)))&gt;0,
        SUMPRODUCT(--ISNUMBER(SEARCH(TRIM(Keywords!$B$2:$B$14),A23)))&gt;0),"Neutral",
IF(SUMPRODUCT(--ISNUMBER(SEARCH(TRIM(Keywords!$A$2:$A$16),A23)))&gt;0,"Positive",
IF(SUMPRODUCT(--ISNUMBER(SEARCH(TRIM(Keywords!$A$2:$B$14),A23)))&gt;0,"Negative","Neutral")))</f>
        <v>Neutral</v>
      </c>
    </row>
    <row r="24" spans="1:4" hidden="1" x14ac:dyDescent="0.25">
      <c r="A24" t="s">
        <v>38</v>
      </c>
      <c r="B24">
        <v>5</v>
      </c>
      <c r="C24" t="str">
        <f>IF(AND(SUMPRODUCT(--ISNUMBER(SEARCH(TRIM(Keywords!$A$2:$A$16),A24)))&gt;0,
        SUMPRODUCT(--ISNUMBER(SEARCH(TRIM(Keywords!$B$2:$B$14),A24)))&gt;0),"Neutral",
IF(SUMPRODUCT(--ISNUMBER(SEARCH(TRIM(Keywords!$A$2:$A$16),A24)))&gt;0,"Positive",
IF(SUMPRODUCT(--ISNUMBER(SEARCH(TRIM(Keywords!$A$2:$B$14),A24)))&gt;0,"Negative","Neutral")))</f>
        <v>Positive</v>
      </c>
    </row>
    <row r="25" spans="1:4" x14ac:dyDescent="0.25">
      <c r="A25" t="s">
        <v>45</v>
      </c>
      <c r="B25">
        <v>1</v>
      </c>
      <c r="C25" t="str">
        <f>IF(AND(SUMPRODUCT(--ISNUMBER(SEARCH(TRIM(Keywords!$A$2:$A$16),A25)))&gt;0,
        SUMPRODUCT(--ISNUMBER(SEARCH(TRIM(Keywords!$B$2:$B$14),A25)))&gt;0),"Neutral",
IF(SUMPRODUCT(--ISNUMBER(SEARCH(TRIM(Keywords!$A$2:$A$16),A25)))&gt;0,"Positive",
IF(SUMPRODUCT(--ISNUMBER(SEARCH(TRIM(Keywords!$A$2:$B$14),A25)))&gt;0,"Negative","Neutral")))</f>
        <v>Neutral</v>
      </c>
    </row>
    <row r="26" spans="1:4" hidden="1" x14ac:dyDescent="0.25">
      <c r="A26" t="s">
        <v>46</v>
      </c>
      <c r="B26">
        <v>1</v>
      </c>
      <c r="C26" t="str">
        <f>IF(AND(SUMPRODUCT(--ISNUMBER(SEARCH(TRIM(Keywords!$A$2:$A$16),A26)))&gt;0,
        SUMPRODUCT(--ISNUMBER(SEARCH(TRIM(Keywords!$B$2:$B$14),A26)))&gt;0),"Neutral",
IF(SUMPRODUCT(--ISNUMBER(SEARCH(TRIM(Keywords!$A$2:$A$16),A26)))&gt;0,"Positive",
IF(SUMPRODUCT(--ISNUMBER(SEARCH(TRIM(Keywords!$A$2:$B$14),A26)))&gt;0,"Negative","Neutral")))</f>
        <v>Negative</v>
      </c>
    </row>
    <row r="27" spans="1:4" hidden="1" x14ac:dyDescent="0.25">
      <c r="A27" t="s">
        <v>37</v>
      </c>
      <c r="B27">
        <v>4</v>
      </c>
      <c r="C27" t="str">
        <f>IF(AND(SUMPRODUCT(--ISNUMBER(SEARCH(TRIM(Keywords!$A$2:$A$16),A27)))&gt;0,
        SUMPRODUCT(--ISNUMBER(SEARCH(TRIM(Keywords!$B$2:$B$14),A27)))&gt;0),"Neutral",
IF(SUMPRODUCT(--ISNUMBER(SEARCH(TRIM(Keywords!$A$2:$A$16),A27)))&gt;0,"Positive",
IF(SUMPRODUCT(--ISNUMBER(SEARCH(TRIM(Keywords!$A$2:$B$14),A27)))&gt;0,"Negative","Neutral")))</f>
        <v>Positive</v>
      </c>
    </row>
    <row r="28" spans="1:4" hidden="1" x14ac:dyDescent="0.25">
      <c r="A28" t="s">
        <v>2</v>
      </c>
      <c r="B28">
        <v>5</v>
      </c>
      <c r="C28" t="str">
        <f>IF(AND(SUMPRODUCT(--ISNUMBER(SEARCH(TRIM(Keywords!$A$2:$A$16),A28)))&gt;0,
        SUMPRODUCT(--ISNUMBER(SEARCH(TRIM(Keywords!$B$2:$B$14),A28)))&gt;0),"Neutral",
IF(SUMPRODUCT(--ISNUMBER(SEARCH(TRIM(Keywords!$A$2:$A$16),A28)))&gt;0,"Positive",
IF(SUMPRODUCT(--ISNUMBER(SEARCH(TRIM(Keywords!$A$2:$B$14),A28)))&gt;0,"Negative","Neutral")))</f>
        <v>Positive</v>
      </c>
    </row>
    <row r="29" spans="1:4" hidden="1" x14ac:dyDescent="0.25">
      <c r="A29" t="s">
        <v>47</v>
      </c>
      <c r="B29">
        <v>1</v>
      </c>
      <c r="C29" t="str">
        <f>IF(AND(SUMPRODUCT(--ISNUMBER(SEARCH(TRIM(Keywords!$A$2:$A$16),A29)))&gt;0,
        SUMPRODUCT(--ISNUMBER(SEARCH(TRIM(Keywords!$B$2:$B$14),A29)))&gt;0),"Neutral",
IF(SUMPRODUCT(--ISNUMBER(SEARCH(TRIM(Keywords!$A$2:$A$16),A29)))&gt;0,"Positive",
IF(SUMPRODUCT(--ISNUMBER(SEARCH(TRIM(Keywords!$A$2:$B$14),A29)))&gt;0,"Negative","Neutral")))</f>
        <v>Negative</v>
      </c>
    </row>
    <row r="30" spans="1:4" hidden="1" x14ac:dyDescent="0.25">
      <c r="A30" t="s">
        <v>2</v>
      </c>
      <c r="B30">
        <v>4</v>
      </c>
      <c r="C30" t="str">
        <f>IF(AND(SUMPRODUCT(--ISNUMBER(SEARCH(TRIM(Keywords!$A$2:$A$16),A30)))&gt;0,
        SUMPRODUCT(--ISNUMBER(SEARCH(TRIM(Keywords!$B$2:$B$14),A30)))&gt;0),"Neutral",
IF(SUMPRODUCT(--ISNUMBER(SEARCH(TRIM(Keywords!$A$2:$A$16),A30)))&gt;0,"Positive",
IF(SUMPRODUCT(--ISNUMBER(SEARCH(TRIM(Keywords!$A$2:$B$14),A30)))&gt;0,"Negative","Neutral")))</f>
        <v>Positive</v>
      </c>
    </row>
    <row r="31" spans="1:4" hidden="1" x14ac:dyDescent="0.25">
      <c r="A31" t="s">
        <v>48</v>
      </c>
      <c r="B31">
        <v>5</v>
      </c>
      <c r="C31" t="str">
        <f>IF(AND(SUMPRODUCT(--ISNUMBER(SEARCH(TRIM(Keywords!$A$2:$A$16),A31)))&gt;0,
        SUMPRODUCT(--ISNUMBER(SEARCH(TRIM(Keywords!$B$2:$B$14),A31)))&gt;0),"Neutral",
IF(SUMPRODUCT(--ISNUMBER(SEARCH(TRIM(Keywords!$A$2:$A$16),A31)))&gt;0,"Positive",
IF(SUMPRODUCT(--ISNUMBER(SEARCH(TRIM(Keywords!$A$2:$B$14),A31)))&gt;0,"Negative","Neutral")))</f>
        <v>Positive</v>
      </c>
    </row>
    <row r="32" spans="1:4" hidden="1" x14ac:dyDescent="0.25">
      <c r="A32" t="s">
        <v>49</v>
      </c>
      <c r="B32">
        <v>4</v>
      </c>
      <c r="C32" t="str">
        <f>IF(AND(SUMPRODUCT(--ISNUMBER(SEARCH(TRIM(Keywords!$A$2:$A$16),A32)))&gt;0,
        SUMPRODUCT(--ISNUMBER(SEARCH(TRIM(Keywords!$B$2:$B$14),A32)))&gt;0),"Neutral",
IF(SUMPRODUCT(--ISNUMBER(SEARCH(TRIM(Keywords!$A$2:$A$16),A32)))&gt;0,"Positive",
IF(SUMPRODUCT(--ISNUMBER(SEARCH(TRIM(Keywords!$A$2:$B$14),A32)))&gt;0,"Negative","Neutral")))</f>
        <v>Positive</v>
      </c>
    </row>
    <row r="33" spans="1:3" x14ac:dyDescent="0.25">
      <c r="A33" t="s">
        <v>36</v>
      </c>
      <c r="B33">
        <v>3</v>
      </c>
      <c r="C33" t="str">
        <f>IF(AND(SUMPRODUCT(--ISNUMBER(SEARCH(TRIM(Keywords!$A$2:$A$16),A33)))&gt;0,
        SUMPRODUCT(--ISNUMBER(SEARCH(TRIM(Keywords!$B$2:$B$14),A33)))&gt;0),"Neutral",
IF(SUMPRODUCT(--ISNUMBER(SEARCH(TRIM(Keywords!$A$2:$A$16),A33)))&gt;0,"Positive",
IF(SUMPRODUCT(--ISNUMBER(SEARCH(TRIM(Keywords!$A$2:$B$14),A33)))&gt;0,"Negative","Neutral")))</f>
        <v>Neutral</v>
      </c>
    </row>
    <row r="34" spans="1:3" hidden="1" x14ac:dyDescent="0.25">
      <c r="A34" t="s">
        <v>50</v>
      </c>
      <c r="B34">
        <v>4</v>
      </c>
      <c r="C34" t="str">
        <f>IF(AND(SUMPRODUCT(--ISNUMBER(SEARCH(TRIM(Keywords!$A$2:$A$16),A34)))&gt;0,
        SUMPRODUCT(--ISNUMBER(SEARCH(TRIM(Keywords!$B$2:$B$14),A34)))&gt;0),"Neutral",
IF(SUMPRODUCT(--ISNUMBER(SEARCH(TRIM(Keywords!$A$2:$A$16),A34)))&gt;0,"Positive",
IF(SUMPRODUCT(--ISNUMBER(SEARCH(TRIM(Keywords!$A$2:$B$14),A34)))&gt;0,"Negative","Neutral")))</f>
        <v>Positive</v>
      </c>
    </row>
    <row r="35" spans="1:3" hidden="1" x14ac:dyDescent="0.25">
      <c r="A35" t="s">
        <v>2</v>
      </c>
      <c r="B35">
        <v>5</v>
      </c>
      <c r="C35" t="str">
        <f>IF(AND(SUMPRODUCT(--ISNUMBER(SEARCH(TRIM(Keywords!$A$2:$A$16),A35)))&gt;0,
        SUMPRODUCT(--ISNUMBER(SEARCH(TRIM(Keywords!$B$2:$B$14),A35)))&gt;0),"Neutral",
IF(SUMPRODUCT(--ISNUMBER(SEARCH(TRIM(Keywords!$A$2:$A$16),A35)))&gt;0,"Positive",
IF(SUMPRODUCT(--ISNUMBER(SEARCH(TRIM(Keywords!$A$2:$B$14),A35)))&gt;0,"Negative","Neutral")))</f>
        <v>Positive</v>
      </c>
    </row>
    <row r="36" spans="1:3" hidden="1" x14ac:dyDescent="0.25">
      <c r="A36" t="s">
        <v>51</v>
      </c>
      <c r="B36">
        <v>1</v>
      </c>
      <c r="C36" t="str">
        <f>IF(AND(SUMPRODUCT(--ISNUMBER(SEARCH(TRIM(Keywords!$A$2:$A$16),A36)))&gt;0,
        SUMPRODUCT(--ISNUMBER(SEARCH(TRIM(Keywords!$B$2:$B$14),A36)))&gt;0),"Neutral",
IF(SUMPRODUCT(--ISNUMBER(SEARCH(TRIM(Keywords!$A$2:$A$16),A36)))&gt;0,"Positive",
IF(SUMPRODUCT(--ISNUMBER(SEARCH(TRIM(Keywords!$A$2:$B$14),A36)))&gt;0,"Negative","Neutral")))</f>
        <v>Negative</v>
      </c>
    </row>
    <row r="37" spans="1:3" x14ac:dyDescent="0.25">
      <c r="A37" t="s">
        <v>52</v>
      </c>
      <c r="B37">
        <v>3</v>
      </c>
      <c r="C37" t="str">
        <f>IF(AND(SUMPRODUCT(--ISNUMBER(SEARCH(TRIM(Keywords!$A$2:$A$16),A37)))&gt;0,
        SUMPRODUCT(--ISNUMBER(SEARCH(TRIM(Keywords!$B$2:$B$14),A37)))&gt;0),"Neutral",
IF(SUMPRODUCT(--ISNUMBER(SEARCH(TRIM(Keywords!$A$2:$A$16),A37)))&gt;0,"Positive",
IF(SUMPRODUCT(--ISNUMBER(SEARCH(TRIM(Keywords!$A$2:$B$14),A37)))&gt;0,"Negative","Neutral")))</f>
        <v>Neutral</v>
      </c>
    </row>
    <row r="38" spans="1:3" hidden="1" x14ac:dyDescent="0.25">
      <c r="A38" t="s">
        <v>2</v>
      </c>
      <c r="B38">
        <v>5</v>
      </c>
      <c r="C38" t="str">
        <f>IF(AND(SUMPRODUCT(--ISNUMBER(SEARCH(TRIM(Keywords!$A$2:$A$16),A38)))&gt;0,
        SUMPRODUCT(--ISNUMBER(SEARCH(TRIM(Keywords!$B$2:$B$14),A38)))&gt;0),"Neutral",
IF(SUMPRODUCT(--ISNUMBER(SEARCH(TRIM(Keywords!$A$2:$A$16),A38)))&gt;0,"Positive",
IF(SUMPRODUCT(--ISNUMBER(SEARCH(TRIM(Keywords!$A$2:$B$14),A38)))&gt;0,"Negative","Neutral")))</f>
        <v>Positive</v>
      </c>
    </row>
    <row r="39" spans="1:3" hidden="1" x14ac:dyDescent="0.25">
      <c r="A39" t="s">
        <v>53</v>
      </c>
      <c r="B39">
        <v>5</v>
      </c>
      <c r="C39" t="str">
        <f>IF(AND(SUMPRODUCT(--ISNUMBER(SEARCH(TRIM(Keywords!$A$2:$A$16),A39)))&gt;0,
        SUMPRODUCT(--ISNUMBER(SEARCH(TRIM(Keywords!$B$2:$B$14),A39)))&gt;0),"Neutral",
IF(SUMPRODUCT(--ISNUMBER(SEARCH(TRIM(Keywords!$A$2:$A$16),A39)))&gt;0,"Positive",
IF(SUMPRODUCT(--ISNUMBER(SEARCH(TRIM(Keywords!$A$2:$B$14),A39)))&gt;0,"Negative","Neutral")))</f>
        <v>Positive</v>
      </c>
    </row>
    <row r="40" spans="1:3" hidden="1" x14ac:dyDescent="0.25">
      <c r="A40" t="s">
        <v>2</v>
      </c>
      <c r="B40">
        <v>2</v>
      </c>
      <c r="C40" t="str">
        <f>IF(AND(SUMPRODUCT(--ISNUMBER(SEARCH(TRIM(Keywords!$A$2:$A$16),A40)))&gt;0,
        SUMPRODUCT(--ISNUMBER(SEARCH(TRIM(Keywords!$B$2:$B$14),A40)))&gt;0),"Neutral",
IF(SUMPRODUCT(--ISNUMBER(SEARCH(TRIM(Keywords!$A$2:$A$16),A40)))&gt;0,"Positive",
IF(SUMPRODUCT(--ISNUMBER(SEARCH(TRIM(Keywords!$A$2:$B$14),A40)))&gt;0,"Negative","Neutral")))</f>
        <v>Positive</v>
      </c>
    </row>
    <row r="41" spans="1:3" hidden="1" x14ac:dyDescent="0.25">
      <c r="A41" t="s">
        <v>2</v>
      </c>
      <c r="B41">
        <v>5</v>
      </c>
      <c r="C41" t="str">
        <f>IF(AND(SUMPRODUCT(--ISNUMBER(SEARCH(TRIM(Keywords!$A$2:$A$16),A41)))&gt;0,
        SUMPRODUCT(--ISNUMBER(SEARCH(TRIM(Keywords!$B$2:$B$14),A41)))&gt;0),"Neutral",
IF(SUMPRODUCT(--ISNUMBER(SEARCH(TRIM(Keywords!$A$2:$A$16),A41)))&gt;0,"Positive",
IF(SUMPRODUCT(--ISNUMBER(SEARCH(TRIM(Keywords!$A$2:$B$14),A41)))&gt;0,"Negative","Neutral")))</f>
        <v>Positive</v>
      </c>
    </row>
    <row r="42" spans="1:3" x14ac:dyDescent="0.25">
      <c r="A42" t="s">
        <v>54</v>
      </c>
      <c r="B42">
        <v>1</v>
      </c>
      <c r="C42" t="str">
        <f>IF(AND(SUMPRODUCT(--ISNUMBER(SEARCH(TRIM(Keywords!$A$2:$A$16),A42)))&gt;0,
        SUMPRODUCT(--ISNUMBER(SEARCH(TRIM(Keywords!$B$2:$B$14),A42)))&gt;0),"Neutral",
IF(SUMPRODUCT(--ISNUMBER(SEARCH(TRIM(Keywords!$A$2:$A$16),A42)))&gt;0,"Positive",
IF(SUMPRODUCT(--ISNUMBER(SEARCH(TRIM(Keywords!$A$2:$B$14),A42)))&gt;0,"Negative","Neutral")))</f>
        <v>Neutral</v>
      </c>
    </row>
    <row r="43" spans="1:3" hidden="1" x14ac:dyDescent="0.25">
      <c r="A43" t="s">
        <v>38</v>
      </c>
      <c r="B43">
        <v>5</v>
      </c>
      <c r="C43" t="str">
        <f>IF(AND(SUMPRODUCT(--ISNUMBER(SEARCH(TRIM(Keywords!$A$2:$A$16),A43)))&gt;0,
        SUMPRODUCT(--ISNUMBER(SEARCH(TRIM(Keywords!$B$2:$B$14),A43)))&gt;0),"Neutral",
IF(SUMPRODUCT(--ISNUMBER(SEARCH(TRIM(Keywords!$A$2:$A$16),A43)))&gt;0,"Positive",
IF(SUMPRODUCT(--ISNUMBER(SEARCH(TRIM(Keywords!$A$2:$B$14),A43)))&gt;0,"Negative","Neutral")))</f>
        <v>Positive</v>
      </c>
    </row>
    <row r="44" spans="1:3" hidden="1" x14ac:dyDescent="0.25">
      <c r="A44" t="s">
        <v>38</v>
      </c>
      <c r="B44">
        <v>3</v>
      </c>
      <c r="C44" t="str">
        <f>IF(AND(SUMPRODUCT(--ISNUMBER(SEARCH(TRIM(Keywords!$A$2:$A$16),A44)))&gt;0,
        SUMPRODUCT(--ISNUMBER(SEARCH(TRIM(Keywords!$B$2:$B$14),A44)))&gt;0),"Neutral",
IF(SUMPRODUCT(--ISNUMBER(SEARCH(TRIM(Keywords!$A$2:$A$16),A44)))&gt;0,"Positive",
IF(SUMPRODUCT(--ISNUMBER(SEARCH(TRIM(Keywords!$A$2:$B$14),A44)))&gt;0,"Negative","Neutral")))</f>
        <v>Positive</v>
      </c>
    </row>
    <row r="45" spans="1:3" hidden="1" x14ac:dyDescent="0.25">
      <c r="A45" t="s">
        <v>55</v>
      </c>
      <c r="B45">
        <v>3</v>
      </c>
      <c r="C45" t="str">
        <f>IF(AND(SUMPRODUCT(--ISNUMBER(SEARCH(TRIM(Keywords!$A$2:$A$16),A45)))&gt;0,
        SUMPRODUCT(--ISNUMBER(SEARCH(TRIM(Keywords!$B$2:$B$14),A45)))&gt;0),"Neutral",
IF(SUMPRODUCT(--ISNUMBER(SEARCH(TRIM(Keywords!$A$2:$A$16),A45)))&gt;0,"Positive",
IF(SUMPRODUCT(--ISNUMBER(SEARCH(TRIM(Keywords!$A$2:$B$14),A45)))&gt;0,"Negative","Neutral")))</f>
        <v>Positive</v>
      </c>
    </row>
    <row r="46" spans="1:3" hidden="1" x14ac:dyDescent="0.25">
      <c r="A46" t="s">
        <v>2</v>
      </c>
      <c r="B46">
        <v>4</v>
      </c>
      <c r="C46" t="str">
        <f>IF(AND(SUMPRODUCT(--ISNUMBER(SEARCH(TRIM(Keywords!$A$2:$A$16),A46)))&gt;0,
        SUMPRODUCT(--ISNUMBER(SEARCH(TRIM(Keywords!$B$2:$B$14),A46)))&gt;0),"Neutral",
IF(SUMPRODUCT(--ISNUMBER(SEARCH(TRIM(Keywords!$A$2:$A$16),A46)))&gt;0,"Positive",
IF(SUMPRODUCT(--ISNUMBER(SEARCH(TRIM(Keywords!$A$2:$B$14),A46)))&gt;0,"Negative","Neutral")))</f>
        <v>Positive</v>
      </c>
    </row>
    <row r="47" spans="1:3" x14ac:dyDescent="0.25">
      <c r="A47" t="s">
        <v>56</v>
      </c>
      <c r="B47">
        <v>3</v>
      </c>
      <c r="C47" t="str">
        <f>IF(AND(SUMPRODUCT(--ISNUMBER(SEARCH(TRIM(Keywords!$A$2:$A$16),A47)))&gt;0,
        SUMPRODUCT(--ISNUMBER(SEARCH(TRIM(Keywords!$B$2:$B$14),A47)))&gt;0),"Neutral",
IF(SUMPRODUCT(--ISNUMBER(SEARCH(TRIM(Keywords!$A$2:$A$16),A47)))&gt;0,"Positive",
IF(SUMPRODUCT(--ISNUMBER(SEARCH(TRIM(Keywords!$A$2:$B$14),A47)))&gt;0,"Negative","Neutral")))</f>
        <v>Neutral</v>
      </c>
    </row>
    <row r="48" spans="1:3" x14ac:dyDescent="0.25">
      <c r="A48" t="s">
        <v>57</v>
      </c>
      <c r="B48">
        <v>5</v>
      </c>
      <c r="C48" t="str">
        <f>IF(AND(SUMPRODUCT(--ISNUMBER(SEARCH(TRIM(Keywords!$A$2:$A$16),A48)))&gt;0,
        SUMPRODUCT(--ISNUMBER(SEARCH(TRIM(Keywords!$B$2:$B$14),A48)))&gt;0),"Neutral",
IF(SUMPRODUCT(--ISNUMBER(SEARCH(TRIM(Keywords!$A$2:$A$16),A48)))&gt;0,"Positive",
IF(SUMPRODUCT(--ISNUMBER(SEARCH(TRIM(Keywords!$A$2:$B$14),A48)))&gt;0,"Negative","Neutral")))</f>
        <v>Neutral</v>
      </c>
    </row>
    <row r="49" spans="1:3" hidden="1" x14ac:dyDescent="0.25">
      <c r="A49" t="s">
        <v>2</v>
      </c>
      <c r="B49">
        <v>2</v>
      </c>
      <c r="C49" t="str">
        <f>IF(AND(SUMPRODUCT(--ISNUMBER(SEARCH(TRIM(Keywords!$A$2:$A$16),A49)))&gt;0,
        SUMPRODUCT(--ISNUMBER(SEARCH(TRIM(Keywords!$B$2:$B$14),A49)))&gt;0),"Neutral",
IF(SUMPRODUCT(--ISNUMBER(SEARCH(TRIM(Keywords!$A$2:$A$16),A49)))&gt;0,"Positive",
IF(SUMPRODUCT(--ISNUMBER(SEARCH(TRIM(Keywords!$A$2:$B$14),A49)))&gt;0,"Negative","Neutral")))</f>
        <v>Positive</v>
      </c>
    </row>
    <row r="50" spans="1:3" hidden="1" x14ac:dyDescent="0.25">
      <c r="A50" t="s">
        <v>58</v>
      </c>
      <c r="B50">
        <v>5</v>
      </c>
      <c r="C50" t="str">
        <f>IF(AND(SUMPRODUCT(--ISNUMBER(SEARCH(TRIM(Keywords!$A$2:$A$16),A50)))&gt;0,
        SUMPRODUCT(--ISNUMBER(SEARCH(TRIM(Keywords!$B$2:$B$14),A50)))&gt;0),"Neutral",
IF(SUMPRODUCT(--ISNUMBER(SEARCH(TRIM(Keywords!$A$2:$A$16),A50)))&gt;0,"Positive",
IF(SUMPRODUCT(--ISNUMBER(SEARCH(TRIM(Keywords!$A$2:$B$14),A50)))&gt;0,"Negative","Neutral")))</f>
        <v>Positive</v>
      </c>
    </row>
    <row r="51" spans="1:3" hidden="1" x14ac:dyDescent="0.25">
      <c r="A51" t="s">
        <v>2</v>
      </c>
      <c r="B51">
        <v>5</v>
      </c>
      <c r="C51" t="str">
        <f>IF(AND(SUMPRODUCT(--ISNUMBER(SEARCH(TRIM(Keywords!$A$2:$A$16),A51)))&gt;0,
        SUMPRODUCT(--ISNUMBER(SEARCH(TRIM(Keywords!$B$2:$B$14),A51)))&gt;0),"Neutral",
IF(SUMPRODUCT(--ISNUMBER(SEARCH(TRIM(Keywords!$A$2:$A$16),A51)))&gt;0,"Positive",
IF(SUMPRODUCT(--ISNUMBER(SEARCH(TRIM(Keywords!$A$2:$B$14),A51)))&gt;0,"Negative","Neutral")))</f>
        <v>Positive</v>
      </c>
    </row>
    <row r="52" spans="1:3" hidden="1" x14ac:dyDescent="0.25">
      <c r="A52" t="s">
        <v>59</v>
      </c>
      <c r="B52">
        <v>5</v>
      </c>
      <c r="C52" t="str">
        <f>IF(AND(SUMPRODUCT(--ISNUMBER(SEARCH(TRIM(Keywords!$A$2:$A$16),A52)))&gt;0,
        SUMPRODUCT(--ISNUMBER(SEARCH(TRIM(Keywords!$B$2:$B$14),A52)))&gt;0),"Neutral",
IF(SUMPRODUCT(--ISNUMBER(SEARCH(TRIM(Keywords!$A$2:$A$16),A52)))&gt;0,"Positive",
IF(SUMPRODUCT(--ISNUMBER(SEARCH(TRIM(Keywords!$A$2:$B$14),A52)))&gt;0,"Negative","Neutral")))</f>
        <v>Positive</v>
      </c>
    </row>
    <row r="53" spans="1:3" x14ac:dyDescent="0.25">
      <c r="A53" t="s">
        <v>60</v>
      </c>
      <c r="B53">
        <v>5</v>
      </c>
      <c r="C53" t="str">
        <f>IF(AND(SUMPRODUCT(--ISNUMBER(SEARCH(TRIM(Keywords!$A$2:$A$16),A53)))&gt;0,
        SUMPRODUCT(--ISNUMBER(SEARCH(TRIM(Keywords!$B$2:$B$14),A53)))&gt;0),"Neutral",
IF(SUMPRODUCT(--ISNUMBER(SEARCH(TRIM(Keywords!$A$2:$A$16),A53)))&gt;0,"Positive",
IF(SUMPRODUCT(--ISNUMBER(SEARCH(TRIM(Keywords!$A$2:$B$14),A53)))&gt;0,"Negative","Neutral")))</f>
        <v>Neutral</v>
      </c>
    </row>
    <row r="54" spans="1:3" x14ac:dyDescent="0.25">
      <c r="A54" t="s">
        <v>61</v>
      </c>
      <c r="B54">
        <v>3</v>
      </c>
      <c r="C54" t="str">
        <f>IF(AND(SUMPRODUCT(--ISNUMBER(SEARCH(TRIM(Keywords!$A$2:$A$16),A54)))&gt;0,
        SUMPRODUCT(--ISNUMBER(SEARCH(TRIM(Keywords!$B$2:$B$14),A54)))&gt;0),"Neutral",
IF(SUMPRODUCT(--ISNUMBER(SEARCH(TRIM(Keywords!$A$2:$A$16),A54)))&gt;0,"Positive",
IF(SUMPRODUCT(--ISNUMBER(SEARCH(TRIM(Keywords!$A$2:$B$14),A54)))&gt;0,"Negative","Neutral")))</f>
        <v>Neutral</v>
      </c>
    </row>
    <row r="55" spans="1:3" x14ac:dyDescent="0.25">
      <c r="A55" t="s">
        <v>62</v>
      </c>
      <c r="B55">
        <v>3</v>
      </c>
      <c r="C55" t="str">
        <f>IF(AND(SUMPRODUCT(--ISNUMBER(SEARCH(TRIM(Keywords!$A$2:$A$16),A55)))&gt;0,
        SUMPRODUCT(--ISNUMBER(SEARCH(TRIM(Keywords!$B$2:$B$14),A55)))&gt;0),"Neutral",
IF(SUMPRODUCT(--ISNUMBER(SEARCH(TRIM(Keywords!$A$2:$A$16),A55)))&gt;0,"Positive",
IF(SUMPRODUCT(--ISNUMBER(SEARCH(TRIM(Keywords!$A$2:$B$14),A55)))&gt;0,"Negative","Neutral")))</f>
        <v>Neutral</v>
      </c>
    </row>
    <row r="56" spans="1:3" hidden="1" x14ac:dyDescent="0.25">
      <c r="A56" t="s">
        <v>2</v>
      </c>
      <c r="B56">
        <v>4</v>
      </c>
      <c r="C56" t="str">
        <f>IF(AND(SUMPRODUCT(--ISNUMBER(SEARCH(TRIM(Keywords!$A$2:$A$16),A56)))&gt;0,
        SUMPRODUCT(--ISNUMBER(SEARCH(TRIM(Keywords!$B$2:$B$14),A56)))&gt;0),"Neutral",
IF(SUMPRODUCT(--ISNUMBER(SEARCH(TRIM(Keywords!$A$2:$A$16),A56)))&gt;0,"Positive",
IF(SUMPRODUCT(--ISNUMBER(SEARCH(TRIM(Keywords!$A$2:$B$14),A56)))&gt;0,"Negative","Neutral")))</f>
        <v>Positive</v>
      </c>
    </row>
    <row r="57" spans="1:3" hidden="1" x14ac:dyDescent="0.25">
      <c r="A57" t="s">
        <v>63</v>
      </c>
      <c r="B57">
        <v>1</v>
      </c>
      <c r="C57" t="str">
        <f>IF(AND(SUMPRODUCT(--ISNUMBER(SEARCH(TRIM(Keywords!$A$2:$A$16),A57)))&gt;0,
        SUMPRODUCT(--ISNUMBER(SEARCH(TRIM(Keywords!$B$2:$B$14),A57)))&gt;0),"Neutral",
IF(SUMPRODUCT(--ISNUMBER(SEARCH(TRIM(Keywords!$A$2:$A$16),A57)))&gt;0,"Positive",
IF(SUMPRODUCT(--ISNUMBER(SEARCH(TRIM(Keywords!$A$2:$B$14),A57)))&gt;0,"Negative","Neutral")))</f>
        <v>Negative</v>
      </c>
    </row>
    <row r="58" spans="1:3" x14ac:dyDescent="0.25">
      <c r="A58" t="s">
        <v>64</v>
      </c>
      <c r="B58">
        <v>1</v>
      </c>
      <c r="C58" t="str">
        <f>IF(AND(SUMPRODUCT(--ISNUMBER(SEARCH(TRIM(Keywords!$A$2:$A$16),A58)))&gt;0,
        SUMPRODUCT(--ISNUMBER(SEARCH(TRIM(Keywords!$B$2:$B$14),A58)))&gt;0),"Neutral",
IF(SUMPRODUCT(--ISNUMBER(SEARCH(TRIM(Keywords!$A$2:$A$16),A58)))&gt;0,"Positive",
IF(SUMPRODUCT(--ISNUMBER(SEARCH(TRIM(Keywords!$A$2:$B$14),A58)))&gt;0,"Negative","Neutral")))</f>
        <v>Neutral</v>
      </c>
    </row>
    <row r="59" spans="1:3" hidden="1" x14ac:dyDescent="0.25">
      <c r="A59" t="s">
        <v>2</v>
      </c>
      <c r="B59">
        <v>2</v>
      </c>
      <c r="C59" t="str">
        <f>IF(AND(SUMPRODUCT(--ISNUMBER(SEARCH(TRIM(Keywords!$A$2:$A$16),A59)))&gt;0,
        SUMPRODUCT(--ISNUMBER(SEARCH(TRIM(Keywords!$B$2:$B$14),A59)))&gt;0),"Neutral",
IF(SUMPRODUCT(--ISNUMBER(SEARCH(TRIM(Keywords!$A$2:$A$16),A59)))&gt;0,"Positive",
IF(SUMPRODUCT(--ISNUMBER(SEARCH(TRIM(Keywords!$A$2:$B$14),A59)))&gt;0,"Negative","Neutral")))</f>
        <v>Positive</v>
      </c>
    </row>
    <row r="60" spans="1:3" hidden="1" x14ac:dyDescent="0.25">
      <c r="A60" t="s">
        <v>2</v>
      </c>
      <c r="B60">
        <v>2</v>
      </c>
      <c r="C60" t="str">
        <f>IF(AND(SUMPRODUCT(--ISNUMBER(SEARCH(TRIM(Keywords!$A$2:$A$16),A60)))&gt;0,
        SUMPRODUCT(--ISNUMBER(SEARCH(TRIM(Keywords!$B$2:$B$14),A60)))&gt;0),"Neutral",
IF(SUMPRODUCT(--ISNUMBER(SEARCH(TRIM(Keywords!$A$2:$A$16),A60)))&gt;0,"Positive",
IF(SUMPRODUCT(--ISNUMBER(SEARCH(TRIM(Keywords!$A$2:$B$14),A60)))&gt;0,"Negative","Neutral")))</f>
        <v>Positive</v>
      </c>
    </row>
    <row r="61" spans="1:3" hidden="1" x14ac:dyDescent="0.25">
      <c r="A61" t="s">
        <v>65</v>
      </c>
      <c r="B61">
        <v>1</v>
      </c>
      <c r="C61" t="str">
        <f>IF(AND(SUMPRODUCT(--ISNUMBER(SEARCH(TRIM(Keywords!$A$2:$A$16),A61)))&gt;0,
        SUMPRODUCT(--ISNUMBER(SEARCH(TRIM(Keywords!$B$2:$B$14),A61)))&gt;0),"Neutral",
IF(SUMPRODUCT(--ISNUMBER(SEARCH(TRIM(Keywords!$A$2:$A$16),A61)))&gt;0,"Positive",
IF(SUMPRODUCT(--ISNUMBER(SEARCH(TRIM(Keywords!$A$2:$B$14),A61)))&gt;0,"Negative","Neutral")))</f>
        <v>Negative</v>
      </c>
    </row>
    <row r="62" spans="1:3" hidden="1" x14ac:dyDescent="0.25">
      <c r="A62" t="s">
        <v>2</v>
      </c>
      <c r="B62">
        <v>5</v>
      </c>
      <c r="C62" t="str">
        <f>IF(AND(SUMPRODUCT(--ISNUMBER(SEARCH(TRIM(Keywords!$A$2:$A$16),A62)))&gt;0,
        SUMPRODUCT(--ISNUMBER(SEARCH(TRIM(Keywords!$B$2:$B$14),A62)))&gt;0),"Neutral",
IF(SUMPRODUCT(--ISNUMBER(SEARCH(TRIM(Keywords!$A$2:$A$16),A62)))&gt;0,"Positive",
IF(SUMPRODUCT(--ISNUMBER(SEARCH(TRIM(Keywords!$A$2:$B$14),A62)))&gt;0,"Negative","Neutral")))</f>
        <v>Positive</v>
      </c>
    </row>
    <row r="63" spans="1:3" x14ac:dyDescent="0.25">
      <c r="A63" t="s">
        <v>66</v>
      </c>
      <c r="B63">
        <v>1</v>
      </c>
      <c r="C63" t="str">
        <f>IF(AND(SUMPRODUCT(--ISNUMBER(SEARCH(TRIM(Keywords!$A$2:$A$16),A63)))&gt;0,
        SUMPRODUCT(--ISNUMBER(SEARCH(TRIM(Keywords!$B$2:$B$14),A63)))&gt;0),"Neutral",
IF(SUMPRODUCT(--ISNUMBER(SEARCH(TRIM(Keywords!$A$2:$A$16),A63)))&gt;0,"Positive",
IF(SUMPRODUCT(--ISNUMBER(SEARCH(TRIM(Keywords!$A$2:$B$14),A63)))&gt;0,"Negative","Neutral")))</f>
        <v>Neutral</v>
      </c>
    </row>
    <row r="64" spans="1:3" hidden="1" x14ac:dyDescent="0.25">
      <c r="A64" t="s">
        <v>67</v>
      </c>
      <c r="B64">
        <v>4</v>
      </c>
      <c r="C64" t="str">
        <f>IF(AND(SUMPRODUCT(--ISNUMBER(SEARCH(TRIM(Keywords!$A$2:$A$16),A64)))&gt;0,
        SUMPRODUCT(--ISNUMBER(SEARCH(TRIM(Keywords!$B$2:$B$14),A64)))&gt;0),"Neutral",
IF(SUMPRODUCT(--ISNUMBER(SEARCH(TRIM(Keywords!$A$2:$A$16),A64)))&gt;0,"Positive",
IF(SUMPRODUCT(--ISNUMBER(SEARCH(TRIM(Keywords!$A$2:$B$14),A64)))&gt;0,"Negative","Neutral")))</f>
        <v>Negative</v>
      </c>
    </row>
    <row r="65" spans="1:3" hidden="1" x14ac:dyDescent="0.25">
      <c r="A65" t="s">
        <v>68</v>
      </c>
      <c r="B65">
        <v>1</v>
      </c>
      <c r="C65" t="str">
        <f>IF(AND(SUMPRODUCT(--ISNUMBER(SEARCH(TRIM(Keywords!$A$2:$A$16),A65)))&gt;0,
        SUMPRODUCT(--ISNUMBER(SEARCH(TRIM(Keywords!$B$2:$B$14),A65)))&gt;0),"Neutral",
IF(SUMPRODUCT(--ISNUMBER(SEARCH(TRIM(Keywords!$A$2:$A$16),A65)))&gt;0,"Positive",
IF(SUMPRODUCT(--ISNUMBER(SEARCH(TRIM(Keywords!$A$2:$B$14),A65)))&gt;0,"Negative","Neutral")))</f>
        <v>Negative</v>
      </c>
    </row>
    <row r="66" spans="1:3" x14ac:dyDescent="0.25">
      <c r="A66" t="s">
        <v>69</v>
      </c>
      <c r="B66">
        <v>3</v>
      </c>
      <c r="C66" t="str">
        <f>IF(AND(SUMPRODUCT(--ISNUMBER(SEARCH(TRIM(Keywords!$A$2:$A$16),A66)))&gt;0,
        SUMPRODUCT(--ISNUMBER(SEARCH(TRIM(Keywords!$B$2:$B$14),A66)))&gt;0),"Neutral",
IF(SUMPRODUCT(--ISNUMBER(SEARCH(TRIM(Keywords!$A$2:$A$16),A66)))&gt;0,"Positive",
IF(SUMPRODUCT(--ISNUMBER(SEARCH(TRIM(Keywords!$A$2:$B$14),A66)))&gt;0,"Negative","Neutral")))</f>
        <v>Neutral</v>
      </c>
    </row>
    <row r="67" spans="1:3" x14ac:dyDescent="0.25">
      <c r="A67" t="s">
        <v>70</v>
      </c>
      <c r="B67">
        <v>5</v>
      </c>
      <c r="C67" t="str">
        <f>IF(AND(SUMPRODUCT(--ISNUMBER(SEARCH(TRIM(Keywords!$A$2:$A$16),A67)))&gt;0,
        SUMPRODUCT(--ISNUMBER(SEARCH(TRIM(Keywords!$B$2:$B$14),A67)))&gt;0),"Neutral",
IF(SUMPRODUCT(--ISNUMBER(SEARCH(TRIM(Keywords!$A$2:$A$16),A67)))&gt;0,"Positive",
IF(SUMPRODUCT(--ISNUMBER(SEARCH(TRIM(Keywords!$A$2:$B$14),A67)))&gt;0,"Negative","Neutral")))</f>
        <v>Neutral</v>
      </c>
    </row>
    <row r="68" spans="1:3" hidden="1" x14ac:dyDescent="0.25">
      <c r="A68" t="s">
        <v>71</v>
      </c>
      <c r="B68">
        <v>5</v>
      </c>
      <c r="C68" t="str">
        <f>IF(AND(SUMPRODUCT(--ISNUMBER(SEARCH(TRIM(Keywords!$A$2:$A$16),A68)))&gt;0,
        SUMPRODUCT(--ISNUMBER(SEARCH(TRIM(Keywords!$B$2:$B$14),A68)))&gt;0),"Neutral",
IF(SUMPRODUCT(--ISNUMBER(SEARCH(TRIM(Keywords!$A$2:$A$16),A68)))&gt;0,"Positive",
IF(SUMPRODUCT(--ISNUMBER(SEARCH(TRIM(Keywords!$A$2:$B$14),A68)))&gt;0,"Negative","Neutral")))</f>
        <v>Positive</v>
      </c>
    </row>
    <row r="69" spans="1:3" hidden="1" x14ac:dyDescent="0.25">
      <c r="A69" t="s">
        <v>72</v>
      </c>
      <c r="B69">
        <v>4</v>
      </c>
      <c r="C69" t="str">
        <f>IF(AND(SUMPRODUCT(--ISNUMBER(SEARCH(TRIM(Keywords!$A$2:$A$16),A69)))&gt;0,
        SUMPRODUCT(--ISNUMBER(SEARCH(TRIM(Keywords!$B$2:$B$14),A69)))&gt;0),"Neutral",
IF(SUMPRODUCT(--ISNUMBER(SEARCH(TRIM(Keywords!$A$2:$A$16),A69)))&gt;0,"Positive",
IF(SUMPRODUCT(--ISNUMBER(SEARCH(TRIM(Keywords!$A$2:$B$14),A69)))&gt;0,"Negative","Neutral")))</f>
        <v>Positive</v>
      </c>
    </row>
    <row r="70" spans="1:3" x14ac:dyDescent="0.25">
      <c r="A70" t="s">
        <v>73</v>
      </c>
      <c r="B70">
        <v>3</v>
      </c>
      <c r="C70" t="str">
        <f>IF(AND(SUMPRODUCT(--ISNUMBER(SEARCH(TRIM(Keywords!$A$2:$A$16),A70)))&gt;0,
        SUMPRODUCT(--ISNUMBER(SEARCH(TRIM(Keywords!$B$2:$B$14),A70)))&gt;0),"Neutral",
IF(SUMPRODUCT(--ISNUMBER(SEARCH(TRIM(Keywords!$A$2:$A$16),A70)))&gt;0,"Positive",
IF(SUMPRODUCT(--ISNUMBER(SEARCH(TRIM(Keywords!$A$2:$B$14),A70)))&gt;0,"Negative","Neutral")))</f>
        <v>Neutral</v>
      </c>
    </row>
    <row r="71" spans="1:3" x14ac:dyDescent="0.25">
      <c r="A71" t="s">
        <v>34</v>
      </c>
      <c r="B71">
        <v>3</v>
      </c>
      <c r="C71" t="str">
        <f>IF(AND(SUMPRODUCT(--ISNUMBER(SEARCH(TRIM(Keywords!$A$2:$A$16),A71)))&gt;0,
        SUMPRODUCT(--ISNUMBER(SEARCH(TRIM(Keywords!$B$2:$B$14),A71)))&gt;0),"Neutral",
IF(SUMPRODUCT(--ISNUMBER(SEARCH(TRIM(Keywords!$A$2:$A$16),A71)))&gt;0,"Positive",
IF(SUMPRODUCT(--ISNUMBER(SEARCH(TRIM(Keywords!$A$2:$B$14),A71)))&gt;0,"Negative","Neutral")))</f>
        <v>Neutral</v>
      </c>
    </row>
    <row r="72" spans="1:3" hidden="1" x14ac:dyDescent="0.25">
      <c r="A72" t="s">
        <v>2</v>
      </c>
      <c r="B72">
        <v>4</v>
      </c>
      <c r="C72" t="str">
        <f>IF(AND(SUMPRODUCT(--ISNUMBER(SEARCH(TRIM(Keywords!$A$2:$A$16),A72)))&gt;0,
        SUMPRODUCT(--ISNUMBER(SEARCH(TRIM(Keywords!$B$2:$B$14),A72)))&gt;0),"Neutral",
IF(SUMPRODUCT(--ISNUMBER(SEARCH(TRIM(Keywords!$A$2:$A$16),A72)))&gt;0,"Positive",
IF(SUMPRODUCT(--ISNUMBER(SEARCH(TRIM(Keywords!$A$2:$B$14),A72)))&gt;0,"Negative","Neutral")))</f>
        <v>Positive</v>
      </c>
    </row>
    <row r="73" spans="1:3" x14ac:dyDescent="0.25">
      <c r="A73" t="s">
        <v>34</v>
      </c>
      <c r="B73">
        <v>3</v>
      </c>
      <c r="C73" t="str">
        <f>IF(AND(SUMPRODUCT(--ISNUMBER(SEARCH(TRIM(Keywords!$A$2:$A$16),A73)))&gt;0,
        SUMPRODUCT(--ISNUMBER(SEARCH(TRIM(Keywords!$B$2:$B$14),A73)))&gt;0),"Neutral",
IF(SUMPRODUCT(--ISNUMBER(SEARCH(TRIM(Keywords!$A$2:$A$16),A73)))&gt;0,"Positive",
IF(SUMPRODUCT(--ISNUMBER(SEARCH(TRIM(Keywords!$A$2:$B$14),A73)))&gt;0,"Negative","Neutral")))</f>
        <v>Neutral</v>
      </c>
    </row>
    <row r="74" spans="1:3" hidden="1" x14ac:dyDescent="0.25">
      <c r="A74" t="s">
        <v>74</v>
      </c>
      <c r="B74">
        <v>5</v>
      </c>
      <c r="C74" t="str">
        <f>IF(AND(SUMPRODUCT(--ISNUMBER(SEARCH(TRIM(Keywords!$A$2:$A$16),A74)))&gt;0,
        SUMPRODUCT(--ISNUMBER(SEARCH(TRIM(Keywords!$B$2:$B$14),A74)))&gt;0),"Neutral",
IF(SUMPRODUCT(--ISNUMBER(SEARCH(TRIM(Keywords!$A$2:$A$16),A74)))&gt;0,"Positive",
IF(SUMPRODUCT(--ISNUMBER(SEARCH(TRIM(Keywords!$A$2:$B$14),A74)))&gt;0,"Negative","Neutral")))</f>
        <v>Positive</v>
      </c>
    </row>
    <row r="75" spans="1:3" x14ac:dyDescent="0.25">
      <c r="A75" t="s">
        <v>75</v>
      </c>
      <c r="B75">
        <v>5</v>
      </c>
      <c r="C75" t="str">
        <f>IF(AND(SUMPRODUCT(--ISNUMBER(SEARCH(TRIM(Keywords!$A$2:$A$16),A75)))&gt;0,
        SUMPRODUCT(--ISNUMBER(SEARCH(TRIM(Keywords!$B$2:$B$14),A75)))&gt;0),"Neutral",
IF(SUMPRODUCT(--ISNUMBER(SEARCH(TRIM(Keywords!$A$2:$A$16),A75)))&gt;0,"Positive",
IF(SUMPRODUCT(--ISNUMBER(SEARCH(TRIM(Keywords!$A$2:$B$14),A75)))&gt;0,"Negative","Neutral")))</f>
        <v>Neutral</v>
      </c>
    </row>
    <row r="76" spans="1:3" x14ac:dyDescent="0.25">
      <c r="A76" t="s">
        <v>76</v>
      </c>
      <c r="B76">
        <v>5</v>
      </c>
      <c r="C76" t="str">
        <f>IF(AND(SUMPRODUCT(--ISNUMBER(SEARCH(TRIM(Keywords!$A$2:$A$16),A76)))&gt;0,
        SUMPRODUCT(--ISNUMBER(SEARCH(TRIM(Keywords!$B$2:$B$14),A76)))&gt;0),"Neutral",
IF(SUMPRODUCT(--ISNUMBER(SEARCH(TRIM(Keywords!$A$2:$A$16),A76)))&gt;0,"Positive",
IF(SUMPRODUCT(--ISNUMBER(SEARCH(TRIM(Keywords!$A$2:$B$14),A76)))&gt;0,"Negative","Neutral")))</f>
        <v>Neutral</v>
      </c>
    </row>
    <row r="77" spans="1:3" hidden="1" x14ac:dyDescent="0.25">
      <c r="A77" t="s">
        <v>77</v>
      </c>
      <c r="B77">
        <v>3</v>
      </c>
      <c r="C77" t="str">
        <f>IF(AND(SUMPRODUCT(--ISNUMBER(SEARCH(TRIM(Keywords!$A$2:$A$16),A77)))&gt;0,
        SUMPRODUCT(--ISNUMBER(SEARCH(TRIM(Keywords!$B$2:$B$14),A77)))&gt;0),"Neutral",
IF(SUMPRODUCT(--ISNUMBER(SEARCH(TRIM(Keywords!$A$2:$A$16),A77)))&gt;0,"Positive",
IF(SUMPRODUCT(--ISNUMBER(SEARCH(TRIM(Keywords!$A$2:$B$14),A77)))&gt;0,"Negative","Neutral")))</f>
        <v>Positive</v>
      </c>
    </row>
    <row r="78" spans="1:3" hidden="1" x14ac:dyDescent="0.25">
      <c r="A78" t="s">
        <v>2</v>
      </c>
      <c r="B78">
        <v>4</v>
      </c>
      <c r="C78" t="str">
        <f>IF(AND(SUMPRODUCT(--ISNUMBER(SEARCH(TRIM(Keywords!$A$2:$A$16),A78)))&gt;0,
        SUMPRODUCT(--ISNUMBER(SEARCH(TRIM(Keywords!$B$2:$B$14),A78)))&gt;0),"Neutral",
IF(SUMPRODUCT(--ISNUMBER(SEARCH(TRIM(Keywords!$A$2:$A$16),A78)))&gt;0,"Positive",
IF(SUMPRODUCT(--ISNUMBER(SEARCH(TRIM(Keywords!$A$2:$B$14),A78)))&gt;0,"Negative","Neutral")))</f>
        <v>Positive</v>
      </c>
    </row>
    <row r="79" spans="1:3" hidden="1" x14ac:dyDescent="0.25">
      <c r="A79" t="s">
        <v>78</v>
      </c>
      <c r="B79">
        <v>5</v>
      </c>
      <c r="C79" t="str">
        <f>IF(AND(SUMPRODUCT(--ISNUMBER(SEARCH(TRIM(Keywords!$A$2:$A$16),A79)))&gt;0,
        SUMPRODUCT(--ISNUMBER(SEARCH(TRIM(Keywords!$B$2:$B$14),A79)))&gt;0),"Neutral",
IF(SUMPRODUCT(--ISNUMBER(SEARCH(TRIM(Keywords!$A$2:$A$16),A79)))&gt;0,"Positive",
IF(SUMPRODUCT(--ISNUMBER(SEARCH(TRIM(Keywords!$A$2:$B$14),A79)))&gt;0,"Negative","Neutral")))</f>
        <v>Positive</v>
      </c>
    </row>
    <row r="80" spans="1:3" x14ac:dyDescent="0.25">
      <c r="A80" t="s">
        <v>79</v>
      </c>
      <c r="B80">
        <v>1</v>
      </c>
      <c r="C80" t="str">
        <f>IF(AND(SUMPRODUCT(--ISNUMBER(SEARCH(TRIM(Keywords!$A$2:$A$16),A80)))&gt;0,
        SUMPRODUCT(--ISNUMBER(SEARCH(TRIM(Keywords!$B$2:$B$14),A80)))&gt;0),"Neutral",
IF(SUMPRODUCT(--ISNUMBER(SEARCH(TRIM(Keywords!$A$2:$A$16),A80)))&gt;0,"Positive",
IF(SUMPRODUCT(--ISNUMBER(SEARCH(TRIM(Keywords!$A$2:$B$14),A80)))&gt;0,"Negative","Neutral")))</f>
        <v>Neutral</v>
      </c>
    </row>
    <row r="81" spans="1:3" x14ac:dyDescent="0.25">
      <c r="A81" t="s">
        <v>36</v>
      </c>
      <c r="B81">
        <v>3</v>
      </c>
      <c r="C81" t="str">
        <f>IF(AND(SUMPRODUCT(--ISNUMBER(SEARCH(TRIM(Keywords!$A$2:$A$16),A81)))&gt;0,
        SUMPRODUCT(--ISNUMBER(SEARCH(TRIM(Keywords!$B$2:$B$14),A81)))&gt;0),"Neutral",
IF(SUMPRODUCT(--ISNUMBER(SEARCH(TRIM(Keywords!$A$2:$A$16),A81)))&gt;0,"Positive",
IF(SUMPRODUCT(--ISNUMBER(SEARCH(TRIM(Keywords!$A$2:$B$14),A81)))&gt;0,"Negative","Neutral")))</f>
        <v>Neutral</v>
      </c>
    </row>
    <row r="82" spans="1:3" x14ac:dyDescent="0.25">
      <c r="A82" t="s">
        <v>34</v>
      </c>
      <c r="B82">
        <v>3</v>
      </c>
      <c r="C82" t="str">
        <f>IF(AND(SUMPRODUCT(--ISNUMBER(SEARCH(TRIM(Keywords!$A$2:$A$16),A82)))&gt;0,
        SUMPRODUCT(--ISNUMBER(SEARCH(TRIM(Keywords!$B$2:$B$14),A82)))&gt;0),"Neutral",
IF(SUMPRODUCT(--ISNUMBER(SEARCH(TRIM(Keywords!$A$2:$A$16),A82)))&gt;0,"Positive",
IF(SUMPRODUCT(--ISNUMBER(SEARCH(TRIM(Keywords!$A$2:$B$14),A82)))&gt;0,"Negative","Neutral")))</f>
        <v>Neutral</v>
      </c>
    </row>
    <row r="83" spans="1:3" x14ac:dyDescent="0.25">
      <c r="A83" t="s">
        <v>80</v>
      </c>
      <c r="B83">
        <v>1</v>
      </c>
      <c r="C83" t="str">
        <f>IF(AND(SUMPRODUCT(--ISNUMBER(SEARCH(TRIM(Keywords!$A$2:$A$16),A83)))&gt;0,
        SUMPRODUCT(--ISNUMBER(SEARCH(TRIM(Keywords!$B$2:$B$14),A83)))&gt;0),"Neutral",
IF(SUMPRODUCT(--ISNUMBER(SEARCH(TRIM(Keywords!$A$2:$A$16),A83)))&gt;0,"Positive",
IF(SUMPRODUCT(--ISNUMBER(SEARCH(TRIM(Keywords!$A$2:$B$14),A83)))&gt;0,"Negative","Neutral")))</f>
        <v>Neutral</v>
      </c>
    </row>
    <row r="84" spans="1:3" hidden="1" x14ac:dyDescent="0.25">
      <c r="A84" t="s">
        <v>81</v>
      </c>
      <c r="B84">
        <v>1</v>
      </c>
      <c r="C84" t="str">
        <f>IF(AND(SUMPRODUCT(--ISNUMBER(SEARCH(TRIM(Keywords!$A$2:$A$16),A84)))&gt;0,
        SUMPRODUCT(--ISNUMBER(SEARCH(TRIM(Keywords!$B$2:$B$14),A84)))&gt;0),"Neutral",
IF(SUMPRODUCT(--ISNUMBER(SEARCH(TRIM(Keywords!$A$2:$A$16),A84)))&gt;0,"Positive",
IF(SUMPRODUCT(--ISNUMBER(SEARCH(TRIM(Keywords!$A$2:$B$14),A84)))&gt;0,"Negative","Neutral")))</f>
        <v>Negative</v>
      </c>
    </row>
    <row r="85" spans="1:3" x14ac:dyDescent="0.25">
      <c r="A85" t="s">
        <v>36</v>
      </c>
      <c r="B85">
        <v>5</v>
      </c>
      <c r="C85" t="str">
        <f>IF(AND(SUMPRODUCT(--ISNUMBER(SEARCH(TRIM(Keywords!$A$2:$A$16),A85)))&gt;0,
        SUMPRODUCT(--ISNUMBER(SEARCH(TRIM(Keywords!$B$2:$B$14),A85)))&gt;0),"Neutral",
IF(SUMPRODUCT(--ISNUMBER(SEARCH(TRIM(Keywords!$A$2:$A$16),A85)))&gt;0,"Positive",
IF(SUMPRODUCT(--ISNUMBER(SEARCH(TRIM(Keywords!$A$2:$B$14),A85)))&gt;0,"Negative","Neutral")))</f>
        <v>Neutral</v>
      </c>
    </row>
    <row r="86" spans="1:3" x14ac:dyDescent="0.25">
      <c r="A86" t="s">
        <v>82</v>
      </c>
      <c r="B86">
        <v>3</v>
      </c>
      <c r="C86" t="str">
        <f>IF(AND(SUMPRODUCT(--ISNUMBER(SEARCH(TRIM(Keywords!$A$2:$A$16),A86)))&gt;0,
        SUMPRODUCT(--ISNUMBER(SEARCH(TRIM(Keywords!$B$2:$B$14),A86)))&gt;0),"Neutral",
IF(SUMPRODUCT(--ISNUMBER(SEARCH(TRIM(Keywords!$A$2:$A$16),A86)))&gt;0,"Positive",
IF(SUMPRODUCT(--ISNUMBER(SEARCH(TRIM(Keywords!$A$2:$B$14),A86)))&gt;0,"Negative","Neutral")))</f>
        <v>Neutral</v>
      </c>
    </row>
    <row r="87" spans="1:3" x14ac:dyDescent="0.25">
      <c r="A87" t="s">
        <v>83</v>
      </c>
      <c r="B87">
        <v>2</v>
      </c>
      <c r="C87" t="str">
        <f>IF(AND(SUMPRODUCT(--ISNUMBER(SEARCH(TRIM(Keywords!$A$2:$A$16),A87)))&gt;0,
        SUMPRODUCT(--ISNUMBER(SEARCH(TRIM(Keywords!$B$2:$B$14),A87)))&gt;0),"Neutral",
IF(SUMPRODUCT(--ISNUMBER(SEARCH(TRIM(Keywords!$A$2:$A$16),A87)))&gt;0,"Positive",
IF(SUMPRODUCT(--ISNUMBER(SEARCH(TRIM(Keywords!$A$2:$B$14),A87)))&gt;0,"Negative","Neutral")))</f>
        <v>Neutral</v>
      </c>
    </row>
    <row r="88" spans="1:3" hidden="1" x14ac:dyDescent="0.25">
      <c r="A88" t="s">
        <v>84</v>
      </c>
      <c r="B88">
        <v>5</v>
      </c>
      <c r="C88" t="str">
        <f>IF(AND(SUMPRODUCT(--ISNUMBER(SEARCH(TRIM(Keywords!$A$2:$A$16),A88)))&gt;0,
        SUMPRODUCT(--ISNUMBER(SEARCH(TRIM(Keywords!$B$2:$B$14),A88)))&gt;0),"Neutral",
IF(SUMPRODUCT(--ISNUMBER(SEARCH(TRIM(Keywords!$A$2:$A$16),A88)))&gt;0,"Positive",
IF(SUMPRODUCT(--ISNUMBER(SEARCH(TRIM(Keywords!$A$2:$B$14),A88)))&gt;0,"Negative","Neutral")))</f>
        <v>Positive</v>
      </c>
    </row>
    <row r="89" spans="1:3" x14ac:dyDescent="0.25">
      <c r="A89" t="s">
        <v>85</v>
      </c>
      <c r="B89">
        <v>3</v>
      </c>
      <c r="C89" t="str">
        <f>IF(AND(SUMPRODUCT(--ISNUMBER(SEARCH(TRIM(Keywords!$A$2:$A$16),A89)))&gt;0,
        SUMPRODUCT(--ISNUMBER(SEARCH(TRIM(Keywords!$B$2:$B$14),A89)))&gt;0),"Neutral",
IF(SUMPRODUCT(--ISNUMBER(SEARCH(TRIM(Keywords!$A$2:$A$16),A89)))&gt;0,"Positive",
IF(SUMPRODUCT(--ISNUMBER(SEARCH(TRIM(Keywords!$A$2:$B$14),A89)))&gt;0,"Negative","Neutral")))</f>
        <v>Neutral</v>
      </c>
    </row>
    <row r="90" spans="1:3" x14ac:dyDescent="0.25">
      <c r="A90" t="s">
        <v>86</v>
      </c>
      <c r="B90">
        <v>3</v>
      </c>
      <c r="C90" t="str">
        <f>IF(AND(SUMPRODUCT(--ISNUMBER(SEARCH(TRIM(Keywords!$A$2:$A$16),A90)))&gt;0,
        SUMPRODUCT(--ISNUMBER(SEARCH(TRIM(Keywords!$B$2:$B$14),A90)))&gt;0),"Neutral",
IF(SUMPRODUCT(--ISNUMBER(SEARCH(TRIM(Keywords!$A$2:$A$16),A90)))&gt;0,"Positive",
IF(SUMPRODUCT(--ISNUMBER(SEARCH(TRIM(Keywords!$A$2:$B$14),A90)))&gt;0,"Negative","Neutral")))</f>
        <v>Neutral</v>
      </c>
    </row>
    <row r="91" spans="1:3" x14ac:dyDescent="0.25">
      <c r="A91" t="s">
        <v>87</v>
      </c>
      <c r="B91">
        <v>3</v>
      </c>
      <c r="C91" t="str">
        <f>IF(AND(SUMPRODUCT(--ISNUMBER(SEARCH(TRIM(Keywords!$A$2:$A$16),A91)))&gt;0,
        SUMPRODUCT(--ISNUMBER(SEARCH(TRIM(Keywords!$B$2:$B$14),A91)))&gt;0),"Neutral",
IF(SUMPRODUCT(--ISNUMBER(SEARCH(TRIM(Keywords!$A$2:$A$16),A91)))&gt;0,"Positive",
IF(SUMPRODUCT(--ISNUMBER(SEARCH(TRIM(Keywords!$A$2:$B$14),A91)))&gt;0,"Negative","Neutral")))</f>
        <v>Neutral</v>
      </c>
    </row>
    <row r="92" spans="1:3" x14ac:dyDescent="0.25">
      <c r="A92" t="s">
        <v>88</v>
      </c>
      <c r="B92">
        <v>1</v>
      </c>
      <c r="C92" t="str">
        <f>IF(AND(SUMPRODUCT(--ISNUMBER(SEARCH(TRIM(Keywords!$A$2:$A$16),A92)))&gt;0,
        SUMPRODUCT(--ISNUMBER(SEARCH(TRIM(Keywords!$B$2:$B$14),A92)))&gt;0),"Neutral",
IF(SUMPRODUCT(--ISNUMBER(SEARCH(TRIM(Keywords!$A$2:$A$16),A92)))&gt;0,"Positive",
IF(SUMPRODUCT(--ISNUMBER(SEARCH(TRIM(Keywords!$A$2:$B$14),A92)))&gt;0,"Negative","Neutral")))</f>
        <v>Neutral</v>
      </c>
    </row>
    <row r="93" spans="1:3" x14ac:dyDescent="0.25">
      <c r="A93" t="s">
        <v>89</v>
      </c>
      <c r="B93">
        <v>3</v>
      </c>
      <c r="C93" t="str">
        <f>IF(AND(SUMPRODUCT(--ISNUMBER(SEARCH(TRIM(Keywords!$A$2:$A$16),A93)))&gt;0,
        SUMPRODUCT(--ISNUMBER(SEARCH(TRIM(Keywords!$B$2:$B$14),A93)))&gt;0),"Neutral",
IF(SUMPRODUCT(--ISNUMBER(SEARCH(TRIM(Keywords!$A$2:$A$16),A93)))&gt;0,"Positive",
IF(SUMPRODUCT(--ISNUMBER(SEARCH(TRIM(Keywords!$A$2:$B$14),A93)))&gt;0,"Negative","Neutral")))</f>
        <v>Neutral</v>
      </c>
    </row>
    <row r="94" spans="1:3" hidden="1" x14ac:dyDescent="0.25">
      <c r="A94" t="s">
        <v>37</v>
      </c>
      <c r="B94">
        <v>1</v>
      </c>
      <c r="C94" t="str">
        <f>IF(AND(SUMPRODUCT(--ISNUMBER(SEARCH(TRIM(Keywords!$A$2:$A$16),A94)))&gt;0,
        SUMPRODUCT(--ISNUMBER(SEARCH(TRIM(Keywords!$B$2:$B$14),A94)))&gt;0),"Neutral",
IF(SUMPRODUCT(--ISNUMBER(SEARCH(TRIM(Keywords!$A$2:$A$16),A94)))&gt;0,"Positive",
IF(SUMPRODUCT(--ISNUMBER(SEARCH(TRIM(Keywords!$A$2:$B$14),A94)))&gt;0,"Negative","Neutral")))</f>
        <v>Positive</v>
      </c>
    </row>
    <row r="95" spans="1:3" x14ac:dyDescent="0.25">
      <c r="A95" t="s">
        <v>90</v>
      </c>
      <c r="B95">
        <v>3</v>
      </c>
      <c r="C95" t="str">
        <f>IF(AND(SUMPRODUCT(--ISNUMBER(SEARCH(TRIM(Keywords!$A$2:$A$16),A95)))&gt;0,
        SUMPRODUCT(--ISNUMBER(SEARCH(TRIM(Keywords!$B$2:$B$14),A95)))&gt;0),"Neutral",
IF(SUMPRODUCT(--ISNUMBER(SEARCH(TRIM(Keywords!$A$2:$A$16),A95)))&gt;0,"Positive",
IF(SUMPRODUCT(--ISNUMBER(SEARCH(TRIM(Keywords!$A$2:$B$14),A95)))&gt;0,"Negative","Neutral")))</f>
        <v>Neutral</v>
      </c>
    </row>
    <row r="96" spans="1:3" hidden="1" x14ac:dyDescent="0.25">
      <c r="A96" t="s">
        <v>37</v>
      </c>
      <c r="B96">
        <v>5</v>
      </c>
      <c r="C96" t="str">
        <f>IF(AND(SUMPRODUCT(--ISNUMBER(SEARCH(TRIM(Keywords!$A$2:$A$16),A96)))&gt;0,
        SUMPRODUCT(--ISNUMBER(SEARCH(TRIM(Keywords!$B$2:$B$14),A96)))&gt;0),"Neutral",
IF(SUMPRODUCT(--ISNUMBER(SEARCH(TRIM(Keywords!$A$2:$A$16),A96)))&gt;0,"Positive",
IF(SUMPRODUCT(--ISNUMBER(SEARCH(TRIM(Keywords!$A$2:$B$14),A96)))&gt;0,"Negative","Neutral")))</f>
        <v>Positive</v>
      </c>
    </row>
    <row r="97" spans="1:3" hidden="1" x14ac:dyDescent="0.25">
      <c r="A97" t="s">
        <v>91</v>
      </c>
      <c r="B97">
        <v>5</v>
      </c>
      <c r="C97" t="str">
        <f>IF(AND(SUMPRODUCT(--ISNUMBER(SEARCH(TRIM(Keywords!$A$2:$A$16),A97)))&gt;0,
        SUMPRODUCT(--ISNUMBER(SEARCH(TRIM(Keywords!$B$2:$B$14),A97)))&gt;0),"Neutral",
IF(SUMPRODUCT(--ISNUMBER(SEARCH(TRIM(Keywords!$A$2:$A$16),A97)))&gt;0,"Positive",
IF(SUMPRODUCT(--ISNUMBER(SEARCH(TRIM(Keywords!$A$2:$B$14),A97)))&gt;0,"Negative","Neutral")))</f>
        <v>Positive</v>
      </c>
    </row>
    <row r="98" spans="1:3" x14ac:dyDescent="0.25">
      <c r="A98" t="s">
        <v>92</v>
      </c>
      <c r="B98">
        <v>3</v>
      </c>
      <c r="C98" t="str">
        <f>IF(AND(SUMPRODUCT(--ISNUMBER(SEARCH(TRIM(Keywords!$A$2:$A$16),A98)))&gt;0,
        SUMPRODUCT(--ISNUMBER(SEARCH(TRIM(Keywords!$B$2:$B$14),A98)))&gt;0),"Neutral",
IF(SUMPRODUCT(--ISNUMBER(SEARCH(TRIM(Keywords!$A$2:$A$16),A98)))&gt;0,"Positive",
IF(SUMPRODUCT(--ISNUMBER(SEARCH(TRIM(Keywords!$A$2:$B$14),A98)))&gt;0,"Negative","Neutral")))</f>
        <v>Neutral</v>
      </c>
    </row>
    <row r="99" spans="1:3" x14ac:dyDescent="0.25">
      <c r="A99" t="s">
        <v>93</v>
      </c>
      <c r="B99">
        <v>1</v>
      </c>
      <c r="C99" t="str">
        <f>IF(AND(SUMPRODUCT(--ISNUMBER(SEARCH(TRIM(Keywords!$A$2:$A$16),A99)))&gt;0,
        SUMPRODUCT(--ISNUMBER(SEARCH(TRIM(Keywords!$B$2:$B$14),A99)))&gt;0),"Neutral",
IF(SUMPRODUCT(--ISNUMBER(SEARCH(TRIM(Keywords!$A$2:$A$16),A99)))&gt;0,"Positive",
IF(SUMPRODUCT(--ISNUMBER(SEARCH(TRIM(Keywords!$A$2:$B$14),A99)))&gt;0,"Negative","Neutral")))</f>
        <v>Neutral</v>
      </c>
    </row>
    <row r="100" spans="1:3" hidden="1" x14ac:dyDescent="0.25">
      <c r="A100" t="s">
        <v>94</v>
      </c>
      <c r="B100">
        <v>5</v>
      </c>
      <c r="C100" t="str">
        <f>IF(AND(SUMPRODUCT(--ISNUMBER(SEARCH(TRIM(Keywords!$A$2:$A$16),A100)))&gt;0,
        SUMPRODUCT(--ISNUMBER(SEARCH(TRIM(Keywords!$B$2:$B$14),A100)))&gt;0),"Neutral",
IF(SUMPRODUCT(--ISNUMBER(SEARCH(TRIM(Keywords!$A$2:$A$16),A100)))&gt;0,"Positive",
IF(SUMPRODUCT(--ISNUMBER(SEARCH(TRIM(Keywords!$A$2:$B$14),A100)))&gt;0,"Negative","Neutral")))</f>
        <v>Positive</v>
      </c>
    </row>
    <row r="101" spans="1:3" x14ac:dyDescent="0.25">
      <c r="A101" t="s">
        <v>95</v>
      </c>
      <c r="B101">
        <v>1</v>
      </c>
      <c r="C101" t="str">
        <f>IF(AND(SUMPRODUCT(--ISNUMBER(SEARCH(TRIM(Keywords!$A$2:$A$16),A101)))&gt;0,
        SUMPRODUCT(--ISNUMBER(SEARCH(TRIM(Keywords!$B$2:$B$14),A101)))&gt;0),"Neutral",
IF(SUMPRODUCT(--ISNUMBER(SEARCH(TRIM(Keywords!$A$2:$A$16),A101)))&gt;0,"Positive",
IF(SUMPRODUCT(--ISNUMBER(SEARCH(TRIM(Keywords!$A$2:$B$14),A101)))&gt;0,"Negative","Neutral")))</f>
        <v>Neutral</v>
      </c>
    </row>
    <row r="102" spans="1:3" x14ac:dyDescent="0.25">
      <c r="A102" t="s">
        <v>96</v>
      </c>
      <c r="B102">
        <v>1</v>
      </c>
      <c r="C102" t="str">
        <f>IF(AND(SUMPRODUCT(--ISNUMBER(SEARCH(TRIM(Keywords!$A$2:$A$16),A102)))&gt;0,
        SUMPRODUCT(--ISNUMBER(SEARCH(TRIM(Keywords!$B$2:$B$14),A102)))&gt;0),"Neutral",
IF(SUMPRODUCT(--ISNUMBER(SEARCH(TRIM(Keywords!$A$2:$A$16),A102)))&gt;0,"Positive",
IF(SUMPRODUCT(--ISNUMBER(SEARCH(TRIM(Keywords!$A$2:$B$14),A102)))&gt;0,"Negative","Neutral")))</f>
        <v>Neutral</v>
      </c>
    </row>
    <row r="103" spans="1:3" x14ac:dyDescent="0.25">
      <c r="A103" t="s">
        <v>97</v>
      </c>
      <c r="B103">
        <v>4</v>
      </c>
      <c r="C103" t="str">
        <f>IF(AND(SUMPRODUCT(--ISNUMBER(SEARCH(TRIM(Keywords!$A$2:$A$16),A103)))&gt;0,
        SUMPRODUCT(--ISNUMBER(SEARCH(TRIM(Keywords!$B$2:$B$14),A103)))&gt;0),"Neutral",
IF(SUMPRODUCT(--ISNUMBER(SEARCH(TRIM(Keywords!$A$2:$A$16),A103)))&gt;0,"Positive",
IF(SUMPRODUCT(--ISNUMBER(SEARCH(TRIM(Keywords!$A$2:$B$14),A103)))&gt;0,"Negative","Neutral")))</f>
        <v>Neutral</v>
      </c>
    </row>
    <row r="104" spans="1:3" x14ac:dyDescent="0.25">
      <c r="A104" t="s">
        <v>98</v>
      </c>
      <c r="B104">
        <v>1</v>
      </c>
      <c r="C104" t="str">
        <f>IF(AND(SUMPRODUCT(--ISNUMBER(SEARCH(TRIM(Keywords!$A$2:$A$16),A104)))&gt;0,
        SUMPRODUCT(--ISNUMBER(SEARCH(TRIM(Keywords!$B$2:$B$14),A104)))&gt;0),"Neutral",
IF(SUMPRODUCT(--ISNUMBER(SEARCH(TRIM(Keywords!$A$2:$A$16),A104)))&gt;0,"Positive",
IF(SUMPRODUCT(--ISNUMBER(SEARCH(TRIM(Keywords!$A$2:$B$14),A104)))&gt;0,"Negative","Neutral")))</f>
        <v>Neutral</v>
      </c>
    </row>
    <row r="105" spans="1:3" hidden="1" x14ac:dyDescent="0.25">
      <c r="A105" t="s">
        <v>99</v>
      </c>
      <c r="B105">
        <v>5</v>
      </c>
      <c r="C105" t="str">
        <f>IF(AND(SUMPRODUCT(--ISNUMBER(SEARCH(TRIM(Keywords!$A$2:$A$16),A105)))&gt;0,
        SUMPRODUCT(--ISNUMBER(SEARCH(TRIM(Keywords!$B$2:$B$14),A105)))&gt;0),"Neutral",
IF(SUMPRODUCT(--ISNUMBER(SEARCH(TRIM(Keywords!$A$2:$A$16),A105)))&gt;0,"Positive",
IF(SUMPRODUCT(--ISNUMBER(SEARCH(TRIM(Keywords!$A$2:$B$14),A105)))&gt;0,"Negative","Neutral")))</f>
        <v>Positive</v>
      </c>
    </row>
    <row r="106" spans="1:3" hidden="1" x14ac:dyDescent="0.25">
      <c r="A106" t="s">
        <v>100</v>
      </c>
      <c r="B106">
        <v>2</v>
      </c>
      <c r="C106" t="str">
        <f>IF(AND(SUMPRODUCT(--ISNUMBER(SEARCH(TRIM(Keywords!$A$2:$A$16),A106)))&gt;0,
        SUMPRODUCT(--ISNUMBER(SEARCH(TRIM(Keywords!$B$2:$B$14),A106)))&gt;0),"Neutral",
IF(SUMPRODUCT(--ISNUMBER(SEARCH(TRIM(Keywords!$A$2:$A$16),A106)))&gt;0,"Positive",
IF(SUMPRODUCT(--ISNUMBER(SEARCH(TRIM(Keywords!$A$2:$B$14),A106)))&gt;0,"Negative","Neutral")))</f>
        <v>Positive</v>
      </c>
    </row>
    <row r="107" spans="1:3" x14ac:dyDescent="0.25">
      <c r="A107" t="s">
        <v>101</v>
      </c>
      <c r="B107">
        <v>3</v>
      </c>
      <c r="C107" t="str">
        <f>IF(AND(SUMPRODUCT(--ISNUMBER(SEARCH(TRIM(Keywords!$A$2:$A$16),A107)))&gt;0,
        SUMPRODUCT(--ISNUMBER(SEARCH(TRIM(Keywords!$B$2:$B$14),A107)))&gt;0),"Neutral",
IF(SUMPRODUCT(--ISNUMBER(SEARCH(TRIM(Keywords!$A$2:$A$16),A107)))&gt;0,"Positive",
IF(SUMPRODUCT(--ISNUMBER(SEARCH(TRIM(Keywords!$A$2:$B$14),A107)))&gt;0,"Negative","Neutral")))</f>
        <v>Neutral</v>
      </c>
    </row>
    <row r="108" spans="1:3" x14ac:dyDescent="0.25">
      <c r="A108" t="s">
        <v>64</v>
      </c>
      <c r="B108">
        <v>3</v>
      </c>
      <c r="C108" t="str">
        <f>IF(AND(SUMPRODUCT(--ISNUMBER(SEARCH(TRIM(Keywords!$A$2:$A$16),A108)))&gt;0,
        SUMPRODUCT(--ISNUMBER(SEARCH(TRIM(Keywords!$B$2:$B$14),A108)))&gt;0),"Neutral",
IF(SUMPRODUCT(--ISNUMBER(SEARCH(TRIM(Keywords!$A$2:$A$16),A108)))&gt;0,"Positive",
IF(SUMPRODUCT(--ISNUMBER(SEARCH(TRIM(Keywords!$A$2:$B$14),A108)))&gt;0,"Negative","Neutral")))</f>
        <v>Neutral</v>
      </c>
    </row>
    <row r="109" spans="1:3" hidden="1" x14ac:dyDescent="0.25">
      <c r="A109" t="s">
        <v>102</v>
      </c>
      <c r="B109">
        <v>2</v>
      </c>
      <c r="C109" t="str">
        <f>IF(AND(SUMPRODUCT(--ISNUMBER(SEARCH(TRIM(Keywords!$A$2:$A$16),A109)))&gt;0,
        SUMPRODUCT(--ISNUMBER(SEARCH(TRIM(Keywords!$B$2:$B$14),A109)))&gt;0),"Neutral",
IF(SUMPRODUCT(--ISNUMBER(SEARCH(TRIM(Keywords!$A$2:$A$16),A109)))&gt;0,"Positive",
IF(SUMPRODUCT(--ISNUMBER(SEARCH(TRIM(Keywords!$A$2:$B$14),A109)))&gt;0,"Negative","Neutral")))</f>
        <v>Positive</v>
      </c>
    </row>
    <row r="110" spans="1:3" hidden="1" x14ac:dyDescent="0.25">
      <c r="A110" t="s">
        <v>2</v>
      </c>
      <c r="B110">
        <v>5</v>
      </c>
      <c r="C110" t="str">
        <f>IF(AND(SUMPRODUCT(--ISNUMBER(SEARCH(TRIM(Keywords!$A$2:$A$16),A110)))&gt;0,
        SUMPRODUCT(--ISNUMBER(SEARCH(TRIM(Keywords!$B$2:$B$14),A110)))&gt;0),"Neutral",
IF(SUMPRODUCT(--ISNUMBER(SEARCH(TRIM(Keywords!$A$2:$A$16),A110)))&gt;0,"Positive",
IF(SUMPRODUCT(--ISNUMBER(SEARCH(TRIM(Keywords!$A$2:$B$14),A110)))&gt;0,"Negative","Neutral")))</f>
        <v>Positive</v>
      </c>
    </row>
    <row r="111" spans="1:3" hidden="1" x14ac:dyDescent="0.25">
      <c r="A111" t="s">
        <v>12</v>
      </c>
      <c r="B111">
        <v>5</v>
      </c>
      <c r="C111" t="str">
        <f>IF(AND(SUMPRODUCT(--ISNUMBER(SEARCH(TRIM(Keywords!$A$2:$A$16),A111)))&gt;0,
        SUMPRODUCT(--ISNUMBER(SEARCH(TRIM(Keywords!$B$2:$B$14),A111)))&gt;0),"Neutral",
IF(SUMPRODUCT(--ISNUMBER(SEARCH(TRIM(Keywords!$A$2:$A$16),A111)))&gt;0,"Positive",
IF(SUMPRODUCT(--ISNUMBER(SEARCH(TRIM(Keywords!$A$2:$B$14),A111)))&gt;0,"Negative","Neutral")))</f>
        <v>Positive</v>
      </c>
    </row>
    <row r="112" spans="1:3" hidden="1" x14ac:dyDescent="0.25">
      <c r="A112" t="s">
        <v>103</v>
      </c>
      <c r="B112">
        <v>1</v>
      </c>
      <c r="C112" t="str">
        <f>IF(AND(SUMPRODUCT(--ISNUMBER(SEARCH(TRIM(Keywords!$A$2:$A$16),A112)))&gt;0,
        SUMPRODUCT(--ISNUMBER(SEARCH(TRIM(Keywords!$B$2:$B$14),A112)))&gt;0),"Neutral",
IF(SUMPRODUCT(--ISNUMBER(SEARCH(TRIM(Keywords!$A$2:$A$16),A112)))&gt;0,"Positive",
IF(SUMPRODUCT(--ISNUMBER(SEARCH(TRIM(Keywords!$A$2:$B$14),A112)))&gt;0,"Negative","Neutral")))</f>
        <v>Negative</v>
      </c>
    </row>
    <row r="113" spans="1:3" x14ac:dyDescent="0.25">
      <c r="A113" t="s">
        <v>36</v>
      </c>
      <c r="B113">
        <v>3</v>
      </c>
      <c r="C113" t="str">
        <f>IF(AND(SUMPRODUCT(--ISNUMBER(SEARCH(TRIM(Keywords!$A$2:$A$16),A113)))&gt;0,
        SUMPRODUCT(--ISNUMBER(SEARCH(TRIM(Keywords!$B$2:$B$14),A113)))&gt;0),"Neutral",
IF(SUMPRODUCT(--ISNUMBER(SEARCH(TRIM(Keywords!$A$2:$A$16),A113)))&gt;0,"Positive",
IF(SUMPRODUCT(--ISNUMBER(SEARCH(TRIM(Keywords!$A$2:$B$14),A113)))&gt;0,"Negative","Neutral")))</f>
        <v>Neutral</v>
      </c>
    </row>
    <row r="114" spans="1:3" hidden="1" x14ac:dyDescent="0.25">
      <c r="A114" t="s">
        <v>2</v>
      </c>
      <c r="B114">
        <v>4</v>
      </c>
      <c r="C114" t="str">
        <f>IF(AND(SUMPRODUCT(--ISNUMBER(SEARCH(TRIM(Keywords!$A$2:$A$16),A114)))&gt;0,
        SUMPRODUCT(--ISNUMBER(SEARCH(TRIM(Keywords!$B$2:$B$14),A114)))&gt;0),"Neutral",
IF(SUMPRODUCT(--ISNUMBER(SEARCH(TRIM(Keywords!$A$2:$A$16),A114)))&gt;0,"Positive",
IF(SUMPRODUCT(--ISNUMBER(SEARCH(TRIM(Keywords!$A$2:$B$14),A114)))&gt;0,"Negative","Neutral")))</f>
        <v>Positive</v>
      </c>
    </row>
    <row r="115" spans="1:3" hidden="1" x14ac:dyDescent="0.25">
      <c r="A115" t="s">
        <v>104</v>
      </c>
      <c r="B115">
        <v>2</v>
      </c>
      <c r="C115" t="str">
        <f>IF(AND(SUMPRODUCT(--ISNUMBER(SEARCH(TRIM(Keywords!$A$2:$A$16),A115)))&gt;0,
        SUMPRODUCT(--ISNUMBER(SEARCH(TRIM(Keywords!$B$2:$B$14),A115)))&gt;0),"Neutral",
IF(SUMPRODUCT(--ISNUMBER(SEARCH(TRIM(Keywords!$A$2:$A$16),A115)))&gt;0,"Positive",
IF(SUMPRODUCT(--ISNUMBER(SEARCH(TRIM(Keywords!$A$2:$B$14),A115)))&gt;0,"Negative","Neutral")))</f>
        <v>Positive</v>
      </c>
    </row>
    <row r="116" spans="1:3" x14ac:dyDescent="0.25">
      <c r="A116" t="s">
        <v>105</v>
      </c>
      <c r="B116">
        <v>2</v>
      </c>
      <c r="C116" t="str">
        <f>IF(AND(SUMPRODUCT(--ISNUMBER(SEARCH(TRIM(Keywords!$A$2:$A$16),A116)))&gt;0,
        SUMPRODUCT(--ISNUMBER(SEARCH(TRIM(Keywords!$B$2:$B$14),A116)))&gt;0),"Neutral",
IF(SUMPRODUCT(--ISNUMBER(SEARCH(TRIM(Keywords!$A$2:$A$16),A116)))&gt;0,"Positive",
IF(SUMPRODUCT(--ISNUMBER(SEARCH(TRIM(Keywords!$A$2:$B$14),A116)))&gt;0,"Negative","Neutral")))</f>
        <v>Neutral</v>
      </c>
    </row>
    <row r="117" spans="1:3" hidden="1" x14ac:dyDescent="0.25">
      <c r="A117" t="s">
        <v>37</v>
      </c>
      <c r="B117">
        <v>4</v>
      </c>
      <c r="C117" t="str">
        <f>IF(AND(SUMPRODUCT(--ISNUMBER(SEARCH(TRIM(Keywords!$A$2:$A$16),A117)))&gt;0,
        SUMPRODUCT(--ISNUMBER(SEARCH(TRIM(Keywords!$B$2:$B$14),A117)))&gt;0),"Neutral",
IF(SUMPRODUCT(--ISNUMBER(SEARCH(TRIM(Keywords!$A$2:$A$16),A117)))&gt;0,"Positive",
IF(SUMPRODUCT(--ISNUMBER(SEARCH(TRIM(Keywords!$A$2:$B$14),A117)))&gt;0,"Negative","Neutral")))</f>
        <v>Positive</v>
      </c>
    </row>
    <row r="118" spans="1:3" hidden="1" x14ac:dyDescent="0.25">
      <c r="A118" t="s">
        <v>39</v>
      </c>
      <c r="B118">
        <v>4</v>
      </c>
      <c r="C118" t="str">
        <f>IF(AND(SUMPRODUCT(--ISNUMBER(SEARCH(TRIM(Keywords!$A$2:$A$16),A118)))&gt;0,
        SUMPRODUCT(--ISNUMBER(SEARCH(TRIM(Keywords!$B$2:$B$14),A118)))&gt;0),"Neutral",
IF(SUMPRODUCT(--ISNUMBER(SEARCH(TRIM(Keywords!$A$2:$A$16),A118)))&gt;0,"Positive",
IF(SUMPRODUCT(--ISNUMBER(SEARCH(TRIM(Keywords!$A$2:$B$14),A118)))&gt;0,"Negative","Neutral")))</f>
        <v>Positive</v>
      </c>
    </row>
    <row r="119" spans="1:3" hidden="1" x14ac:dyDescent="0.25">
      <c r="A119" t="s">
        <v>2</v>
      </c>
      <c r="B119">
        <v>4</v>
      </c>
      <c r="C119" t="str">
        <f>IF(AND(SUMPRODUCT(--ISNUMBER(SEARCH(TRIM(Keywords!$A$2:$A$16),A119)))&gt;0,
        SUMPRODUCT(--ISNUMBER(SEARCH(TRIM(Keywords!$B$2:$B$14),A119)))&gt;0),"Neutral",
IF(SUMPRODUCT(--ISNUMBER(SEARCH(TRIM(Keywords!$A$2:$A$16),A119)))&gt;0,"Positive",
IF(SUMPRODUCT(--ISNUMBER(SEARCH(TRIM(Keywords!$A$2:$B$14),A119)))&gt;0,"Negative","Neutral")))</f>
        <v>Positive</v>
      </c>
    </row>
    <row r="120" spans="1:3" hidden="1" x14ac:dyDescent="0.25">
      <c r="A120" t="s">
        <v>53</v>
      </c>
      <c r="B120">
        <v>5</v>
      </c>
      <c r="C120" t="str">
        <f>IF(AND(SUMPRODUCT(--ISNUMBER(SEARCH(TRIM(Keywords!$A$2:$A$16),A120)))&gt;0,
        SUMPRODUCT(--ISNUMBER(SEARCH(TRIM(Keywords!$B$2:$B$14),A120)))&gt;0),"Neutral",
IF(SUMPRODUCT(--ISNUMBER(SEARCH(TRIM(Keywords!$A$2:$A$16),A120)))&gt;0,"Positive",
IF(SUMPRODUCT(--ISNUMBER(SEARCH(TRIM(Keywords!$A$2:$B$14),A120)))&gt;0,"Negative","Neutral")))</f>
        <v>Positive</v>
      </c>
    </row>
    <row r="121" spans="1:3" x14ac:dyDescent="0.25">
      <c r="A121" t="s">
        <v>36</v>
      </c>
      <c r="B121">
        <v>3</v>
      </c>
      <c r="C121" t="str">
        <f>IF(AND(SUMPRODUCT(--ISNUMBER(SEARCH(TRIM(Keywords!$A$2:$A$16),A121)))&gt;0,
        SUMPRODUCT(--ISNUMBER(SEARCH(TRIM(Keywords!$B$2:$B$14),A121)))&gt;0),"Neutral",
IF(SUMPRODUCT(--ISNUMBER(SEARCH(TRIM(Keywords!$A$2:$A$16),A121)))&gt;0,"Positive",
IF(SUMPRODUCT(--ISNUMBER(SEARCH(TRIM(Keywords!$A$2:$B$14),A121)))&gt;0,"Negative","Neutral")))</f>
        <v>Neutral</v>
      </c>
    </row>
    <row r="122" spans="1:3" hidden="1" x14ac:dyDescent="0.25">
      <c r="A122" t="s">
        <v>2</v>
      </c>
      <c r="B122">
        <v>5</v>
      </c>
      <c r="C122" t="str">
        <f>IF(AND(SUMPRODUCT(--ISNUMBER(SEARCH(TRIM(Keywords!$A$2:$A$16),A122)))&gt;0,
        SUMPRODUCT(--ISNUMBER(SEARCH(TRIM(Keywords!$B$2:$B$14),A122)))&gt;0),"Neutral",
IF(SUMPRODUCT(--ISNUMBER(SEARCH(TRIM(Keywords!$A$2:$A$16),A122)))&gt;0,"Positive",
IF(SUMPRODUCT(--ISNUMBER(SEARCH(TRIM(Keywords!$A$2:$B$14),A122)))&gt;0,"Negative","Neutral")))</f>
        <v>Positive</v>
      </c>
    </row>
    <row r="123" spans="1:3" x14ac:dyDescent="0.25">
      <c r="A123" t="s">
        <v>106</v>
      </c>
      <c r="B123">
        <v>3</v>
      </c>
      <c r="C123" t="str">
        <f>IF(AND(SUMPRODUCT(--ISNUMBER(SEARCH(TRIM(Keywords!$A$2:$A$16),A123)))&gt;0,
        SUMPRODUCT(--ISNUMBER(SEARCH(TRIM(Keywords!$B$2:$B$14),A123)))&gt;0),"Neutral",
IF(SUMPRODUCT(--ISNUMBER(SEARCH(TRIM(Keywords!$A$2:$A$16),A123)))&gt;0,"Positive",
IF(SUMPRODUCT(--ISNUMBER(SEARCH(TRIM(Keywords!$A$2:$B$14),A123)))&gt;0,"Negative","Neutral")))</f>
        <v>Neutral</v>
      </c>
    </row>
    <row r="124" spans="1:3" x14ac:dyDescent="0.25">
      <c r="A124" t="s">
        <v>107</v>
      </c>
      <c r="B124">
        <v>2</v>
      </c>
      <c r="C124" t="str">
        <f>IF(AND(SUMPRODUCT(--ISNUMBER(SEARCH(TRIM(Keywords!$A$2:$A$16),A124)))&gt;0,
        SUMPRODUCT(--ISNUMBER(SEARCH(TRIM(Keywords!$B$2:$B$14),A124)))&gt;0),"Neutral",
IF(SUMPRODUCT(--ISNUMBER(SEARCH(TRIM(Keywords!$A$2:$A$16),A124)))&gt;0,"Positive",
IF(SUMPRODUCT(--ISNUMBER(SEARCH(TRIM(Keywords!$A$2:$B$14),A124)))&gt;0,"Negative","Neutral")))</f>
        <v>Neutral</v>
      </c>
    </row>
    <row r="125" spans="1:3" hidden="1" x14ac:dyDescent="0.25">
      <c r="A125" t="s">
        <v>2</v>
      </c>
      <c r="B125">
        <v>5</v>
      </c>
      <c r="C125" t="str">
        <f>IF(AND(SUMPRODUCT(--ISNUMBER(SEARCH(TRIM(Keywords!$A$2:$A$16),A125)))&gt;0,
        SUMPRODUCT(--ISNUMBER(SEARCH(TRIM(Keywords!$B$2:$B$14),A125)))&gt;0),"Neutral",
IF(SUMPRODUCT(--ISNUMBER(SEARCH(TRIM(Keywords!$A$2:$A$16),A125)))&gt;0,"Positive",
IF(SUMPRODUCT(--ISNUMBER(SEARCH(TRIM(Keywords!$A$2:$B$14),A125)))&gt;0,"Negative","Neutral")))</f>
        <v>Positive</v>
      </c>
    </row>
    <row r="126" spans="1:3" x14ac:dyDescent="0.25">
      <c r="A126" t="s">
        <v>108</v>
      </c>
      <c r="B126">
        <v>1</v>
      </c>
      <c r="C126" t="str">
        <f>IF(AND(SUMPRODUCT(--ISNUMBER(SEARCH(TRIM(Keywords!$A$2:$A$16),A126)))&gt;0,
        SUMPRODUCT(--ISNUMBER(SEARCH(TRIM(Keywords!$B$2:$B$14),A126)))&gt;0),"Neutral",
IF(SUMPRODUCT(--ISNUMBER(SEARCH(TRIM(Keywords!$A$2:$A$16),A126)))&gt;0,"Positive",
IF(SUMPRODUCT(--ISNUMBER(SEARCH(TRIM(Keywords!$A$2:$B$14),A126)))&gt;0,"Negative","Neutral")))</f>
        <v>Neutral</v>
      </c>
    </row>
    <row r="127" spans="1:3" x14ac:dyDescent="0.25">
      <c r="A127" t="s">
        <v>109</v>
      </c>
      <c r="B127">
        <v>3</v>
      </c>
      <c r="C127" t="str">
        <f>IF(AND(SUMPRODUCT(--ISNUMBER(SEARCH(TRIM(Keywords!$A$2:$A$16),A127)))&gt;0,
        SUMPRODUCT(--ISNUMBER(SEARCH(TRIM(Keywords!$B$2:$B$14),A127)))&gt;0),"Neutral",
IF(SUMPRODUCT(--ISNUMBER(SEARCH(TRIM(Keywords!$A$2:$A$16),A127)))&gt;0,"Positive",
IF(SUMPRODUCT(--ISNUMBER(SEARCH(TRIM(Keywords!$A$2:$B$14),A127)))&gt;0,"Negative","Neutral")))</f>
        <v>Neutral</v>
      </c>
    </row>
    <row r="128" spans="1:3" x14ac:dyDescent="0.25">
      <c r="A128" t="s">
        <v>110</v>
      </c>
      <c r="B128">
        <v>3</v>
      </c>
      <c r="C128" t="str">
        <f>IF(AND(SUMPRODUCT(--ISNUMBER(SEARCH(TRIM(Keywords!$A$2:$A$16),A128)))&gt;0,
        SUMPRODUCT(--ISNUMBER(SEARCH(TRIM(Keywords!$B$2:$B$14),A128)))&gt;0),"Neutral",
IF(SUMPRODUCT(--ISNUMBER(SEARCH(TRIM(Keywords!$A$2:$A$16),A128)))&gt;0,"Positive",
IF(SUMPRODUCT(--ISNUMBER(SEARCH(TRIM(Keywords!$A$2:$B$14),A128)))&gt;0,"Negative","Neutral")))</f>
        <v>Neutral</v>
      </c>
    </row>
    <row r="129" spans="1:3" hidden="1" x14ac:dyDescent="0.25">
      <c r="A129" t="s">
        <v>111</v>
      </c>
      <c r="B129">
        <v>5</v>
      </c>
      <c r="C129" t="str">
        <f>IF(AND(SUMPRODUCT(--ISNUMBER(SEARCH(TRIM(Keywords!$A$2:$A$16),A129)))&gt;0,
        SUMPRODUCT(--ISNUMBER(SEARCH(TRIM(Keywords!$B$2:$B$14),A129)))&gt;0),"Neutral",
IF(SUMPRODUCT(--ISNUMBER(SEARCH(TRIM(Keywords!$A$2:$A$16),A129)))&gt;0,"Positive",
IF(SUMPRODUCT(--ISNUMBER(SEARCH(TRIM(Keywords!$A$2:$B$14),A129)))&gt;0,"Negative","Neutral")))</f>
        <v>Positive</v>
      </c>
    </row>
    <row r="130" spans="1:3" x14ac:dyDescent="0.25">
      <c r="A130" t="s">
        <v>112</v>
      </c>
      <c r="B130">
        <v>1</v>
      </c>
      <c r="C130" t="str">
        <f>IF(AND(SUMPRODUCT(--ISNUMBER(SEARCH(TRIM(Keywords!$A$2:$A$16),A130)))&gt;0,
        SUMPRODUCT(--ISNUMBER(SEARCH(TRIM(Keywords!$B$2:$B$14),A130)))&gt;0),"Neutral",
IF(SUMPRODUCT(--ISNUMBER(SEARCH(TRIM(Keywords!$A$2:$A$16),A130)))&gt;0,"Positive",
IF(SUMPRODUCT(--ISNUMBER(SEARCH(TRIM(Keywords!$A$2:$B$14),A130)))&gt;0,"Negative","Neutral")))</f>
        <v>Neutral</v>
      </c>
    </row>
    <row r="131" spans="1:3" hidden="1" x14ac:dyDescent="0.25">
      <c r="A131" t="s">
        <v>113</v>
      </c>
      <c r="B131">
        <v>3</v>
      </c>
      <c r="C131" t="str">
        <f>IF(AND(SUMPRODUCT(--ISNUMBER(SEARCH(TRIM(Keywords!$A$2:$A$16),A131)))&gt;0,
        SUMPRODUCT(--ISNUMBER(SEARCH(TRIM(Keywords!$B$2:$B$14),A131)))&gt;0),"Neutral",
IF(SUMPRODUCT(--ISNUMBER(SEARCH(TRIM(Keywords!$A$2:$A$16),A131)))&gt;0,"Positive",
IF(SUMPRODUCT(--ISNUMBER(SEARCH(TRIM(Keywords!$A$2:$B$14),A131)))&gt;0,"Negative","Neutral")))</f>
        <v>Positive</v>
      </c>
    </row>
    <row r="132" spans="1:3" x14ac:dyDescent="0.25">
      <c r="A132" t="s">
        <v>114</v>
      </c>
      <c r="B132">
        <v>1</v>
      </c>
      <c r="C132" t="str">
        <f>IF(AND(SUMPRODUCT(--ISNUMBER(SEARCH(TRIM(Keywords!$A$2:$A$16),A132)))&gt;0,
        SUMPRODUCT(--ISNUMBER(SEARCH(TRIM(Keywords!$B$2:$B$14),A132)))&gt;0),"Neutral",
IF(SUMPRODUCT(--ISNUMBER(SEARCH(TRIM(Keywords!$A$2:$A$16),A132)))&gt;0,"Positive",
IF(SUMPRODUCT(--ISNUMBER(SEARCH(TRIM(Keywords!$A$2:$B$14),A132)))&gt;0,"Negative","Neutral")))</f>
        <v>Neutral</v>
      </c>
    </row>
    <row r="133" spans="1:3" hidden="1" x14ac:dyDescent="0.25">
      <c r="A133" t="s">
        <v>50</v>
      </c>
      <c r="B133">
        <v>5</v>
      </c>
      <c r="C133" t="str">
        <f>IF(AND(SUMPRODUCT(--ISNUMBER(SEARCH(TRIM(Keywords!$A$2:$A$16),A133)))&gt;0,
        SUMPRODUCT(--ISNUMBER(SEARCH(TRIM(Keywords!$B$2:$B$14),A133)))&gt;0),"Neutral",
IF(SUMPRODUCT(--ISNUMBER(SEARCH(TRIM(Keywords!$A$2:$A$16),A133)))&gt;0,"Positive",
IF(SUMPRODUCT(--ISNUMBER(SEARCH(TRIM(Keywords!$A$2:$B$14),A133)))&gt;0,"Negative","Neutral")))</f>
        <v>Positive</v>
      </c>
    </row>
    <row r="134" spans="1:3" x14ac:dyDescent="0.25">
      <c r="A134" t="s">
        <v>115</v>
      </c>
      <c r="B134">
        <v>2</v>
      </c>
      <c r="C134" t="str">
        <f>IF(AND(SUMPRODUCT(--ISNUMBER(SEARCH(TRIM(Keywords!$A$2:$A$16),A134)))&gt;0,
        SUMPRODUCT(--ISNUMBER(SEARCH(TRIM(Keywords!$B$2:$B$14),A134)))&gt;0),"Neutral",
IF(SUMPRODUCT(--ISNUMBER(SEARCH(TRIM(Keywords!$A$2:$A$16),A134)))&gt;0,"Positive",
IF(SUMPRODUCT(--ISNUMBER(SEARCH(TRIM(Keywords!$A$2:$B$14),A134)))&gt;0,"Negative","Neutral")))</f>
        <v>Neutral</v>
      </c>
    </row>
    <row r="135" spans="1:3" x14ac:dyDescent="0.25">
      <c r="A135" t="s">
        <v>116</v>
      </c>
      <c r="B135">
        <v>1</v>
      </c>
      <c r="C135" t="str">
        <f>IF(AND(SUMPRODUCT(--ISNUMBER(SEARCH(TRIM(Keywords!$A$2:$A$16),A135)))&gt;0,
        SUMPRODUCT(--ISNUMBER(SEARCH(TRIM(Keywords!$B$2:$B$14),A135)))&gt;0),"Neutral",
IF(SUMPRODUCT(--ISNUMBER(SEARCH(TRIM(Keywords!$A$2:$A$16),A135)))&gt;0,"Positive",
IF(SUMPRODUCT(--ISNUMBER(SEARCH(TRIM(Keywords!$A$2:$B$14),A135)))&gt;0,"Negative","Neutral")))</f>
        <v>Neutral</v>
      </c>
    </row>
    <row r="136" spans="1:3" hidden="1" x14ac:dyDescent="0.25">
      <c r="A136" t="s">
        <v>2</v>
      </c>
      <c r="B136">
        <v>2</v>
      </c>
      <c r="C136" t="str">
        <f>IF(AND(SUMPRODUCT(--ISNUMBER(SEARCH(TRIM(Keywords!$A$2:$A$16),A136)))&gt;0,
        SUMPRODUCT(--ISNUMBER(SEARCH(TRIM(Keywords!$B$2:$B$14),A136)))&gt;0),"Neutral",
IF(SUMPRODUCT(--ISNUMBER(SEARCH(TRIM(Keywords!$A$2:$A$16),A136)))&gt;0,"Positive",
IF(SUMPRODUCT(--ISNUMBER(SEARCH(TRIM(Keywords!$A$2:$B$14),A136)))&gt;0,"Negative","Neutral")))</f>
        <v>Positive</v>
      </c>
    </row>
    <row r="137" spans="1:3" x14ac:dyDescent="0.25">
      <c r="A137" t="s">
        <v>117</v>
      </c>
      <c r="B137">
        <v>1</v>
      </c>
      <c r="C137" t="str">
        <f>IF(AND(SUMPRODUCT(--ISNUMBER(SEARCH(TRIM(Keywords!$A$2:$A$16),A137)))&gt;0,
        SUMPRODUCT(--ISNUMBER(SEARCH(TRIM(Keywords!$B$2:$B$14),A137)))&gt;0),"Neutral",
IF(SUMPRODUCT(--ISNUMBER(SEARCH(TRIM(Keywords!$A$2:$A$16),A137)))&gt;0,"Positive",
IF(SUMPRODUCT(--ISNUMBER(SEARCH(TRIM(Keywords!$A$2:$B$14),A137)))&gt;0,"Negative","Neutral")))</f>
        <v>Neutral</v>
      </c>
    </row>
    <row r="138" spans="1:3" x14ac:dyDescent="0.25">
      <c r="A138" t="s">
        <v>118</v>
      </c>
      <c r="B138">
        <v>1</v>
      </c>
      <c r="C138" t="str">
        <f>IF(AND(SUMPRODUCT(--ISNUMBER(SEARCH(TRIM(Keywords!$A$2:$A$16),A138)))&gt;0,
        SUMPRODUCT(--ISNUMBER(SEARCH(TRIM(Keywords!$B$2:$B$14),A138)))&gt;0),"Neutral",
IF(SUMPRODUCT(--ISNUMBER(SEARCH(TRIM(Keywords!$A$2:$A$16),A138)))&gt;0,"Positive",
IF(SUMPRODUCT(--ISNUMBER(SEARCH(TRIM(Keywords!$A$2:$B$14),A138)))&gt;0,"Negative","Neutral")))</f>
        <v>Neutral</v>
      </c>
    </row>
    <row r="139" spans="1:3" x14ac:dyDescent="0.25">
      <c r="A139" t="s">
        <v>119</v>
      </c>
      <c r="B139">
        <v>2</v>
      </c>
      <c r="C139" t="str">
        <f>IF(AND(SUMPRODUCT(--ISNUMBER(SEARCH(TRIM(Keywords!$A$2:$A$16),A139)))&gt;0,
        SUMPRODUCT(--ISNUMBER(SEARCH(TRIM(Keywords!$B$2:$B$14),A139)))&gt;0),"Neutral",
IF(SUMPRODUCT(--ISNUMBER(SEARCH(TRIM(Keywords!$A$2:$A$16),A139)))&gt;0,"Positive",
IF(SUMPRODUCT(--ISNUMBER(SEARCH(TRIM(Keywords!$A$2:$B$14),A139)))&gt;0,"Negative","Neutral")))</f>
        <v>Neutral</v>
      </c>
    </row>
    <row r="140" spans="1:3" x14ac:dyDescent="0.25">
      <c r="A140" t="s">
        <v>36</v>
      </c>
      <c r="B140">
        <v>3</v>
      </c>
      <c r="C140" t="str">
        <f>IF(AND(SUMPRODUCT(--ISNUMBER(SEARCH(TRIM(Keywords!$A$2:$A$16),A140)))&gt;0,
        SUMPRODUCT(--ISNUMBER(SEARCH(TRIM(Keywords!$B$2:$B$14),A140)))&gt;0),"Neutral",
IF(SUMPRODUCT(--ISNUMBER(SEARCH(TRIM(Keywords!$A$2:$A$16),A140)))&gt;0,"Positive",
IF(SUMPRODUCT(--ISNUMBER(SEARCH(TRIM(Keywords!$A$2:$B$14),A140)))&gt;0,"Negative","Neutral")))</f>
        <v>Neutral</v>
      </c>
    </row>
    <row r="141" spans="1:3" hidden="1" x14ac:dyDescent="0.25">
      <c r="A141" t="s">
        <v>24</v>
      </c>
      <c r="B141">
        <v>3</v>
      </c>
      <c r="C141" t="str">
        <f>IF(AND(SUMPRODUCT(--ISNUMBER(SEARCH(TRIM(Keywords!$A$2:$A$16),A141)))&gt;0,
        SUMPRODUCT(--ISNUMBER(SEARCH(TRIM(Keywords!$B$2:$B$14),A141)))&gt;0),"Neutral",
IF(SUMPRODUCT(--ISNUMBER(SEARCH(TRIM(Keywords!$A$2:$A$16),A141)))&gt;0,"Positive",
IF(SUMPRODUCT(--ISNUMBER(SEARCH(TRIM(Keywords!$A$2:$B$14),A141)))&gt;0,"Negative","Neutral")))</f>
        <v>Positive</v>
      </c>
    </row>
    <row r="142" spans="1:3" x14ac:dyDescent="0.25">
      <c r="A142" t="s">
        <v>120</v>
      </c>
      <c r="B142">
        <v>1</v>
      </c>
      <c r="C142" t="str">
        <f>IF(AND(SUMPRODUCT(--ISNUMBER(SEARCH(TRIM(Keywords!$A$2:$A$16),A142)))&gt;0,
        SUMPRODUCT(--ISNUMBER(SEARCH(TRIM(Keywords!$B$2:$B$14),A142)))&gt;0),"Neutral",
IF(SUMPRODUCT(--ISNUMBER(SEARCH(TRIM(Keywords!$A$2:$A$16),A142)))&gt;0,"Positive",
IF(SUMPRODUCT(--ISNUMBER(SEARCH(TRIM(Keywords!$A$2:$B$14),A142)))&gt;0,"Negative","Neutral")))</f>
        <v>Neutral</v>
      </c>
    </row>
    <row r="143" spans="1:3" x14ac:dyDescent="0.25">
      <c r="A143" t="s">
        <v>121</v>
      </c>
      <c r="B143">
        <v>2</v>
      </c>
      <c r="C143" t="str">
        <f>IF(AND(SUMPRODUCT(--ISNUMBER(SEARCH(TRIM(Keywords!$A$2:$A$16),A143)))&gt;0,
        SUMPRODUCT(--ISNUMBER(SEARCH(TRIM(Keywords!$B$2:$B$14),A143)))&gt;0),"Neutral",
IF(SUMPRODUCT(--ISNUMBER(SEARCH(TRIM(Keywords!$A$2:$A$16),A143)))&gt;0,"Positive",
IF(SUMPRODUCT(--ISNUMBER(SEARCH(TRIM(Keywords!$A$2:$B$14),A143)))&gt;0,"Negative","Neutral")))</f>
        <v>Neutral</v>
      </c>
    </row>
    <row r="144" spans="1:3" hidden="1" x14ac:dyDescent="0.25">
      <c r="A144" t="s">
        <v>72</v>
      </c>
      <c r="B144">
        <v>4</v>
      </c>
      <c r="C144" t="str">
        <f>IF(AND(SUMPRODUCT(--ISNUMBER(SEARCH(TRIM(Keywords!$A$2:$A$16),A144)))&gt;0,
        SUMPRODUCT(--ISNUMBER(SEARCH(TRIM(Keywords!$B$2:$B$14),A144)))&gt;0),"Neutral",
IF(SUMPRODUCT(--ISNUMBER(SEARCH(TRIM(Keywords!$A$2:$A$16),A144)))&gt;0,"Positive",
IF(SUMPRODUCT(--ISNUMBER(SEARCH(TRIM(Keywords!$A$2:$B$14),A144)))&gt;0,"Negative","Neutral")))</f>
        <v>Positive</v>
      </c>
    </row>
    <row r="145" spans="1:3" x14ac:dyDescent="0.25">
      <c r="A145" t="s">
        <v>25</v>
      </c>
      <c r="B145">
        <v>3</v>
      </c>
      <c r="C145" t="str">
        <f>IF(AND(SUMPRODUCT(--ISNUMBER(SEARCH(TRIM(Keywords!$A$2:$A$16),A145)))&gt;0,
        SUMPRODUCT(--ISNUMBER(SEARCH(TRIM(Keywords!$B$2:$B$14),A145)))&gt;0),"Neutral",
IF(SUMPRODUCT(--ISNUMBER(SEARCH(TRIM(Keywords!$A$2:$A$16),A145)))&gt;0,"Positive",
IF(SUMPRODUCT(--ISNUMBER(SEARCH(TRIM(Keywords!$A$2:$B$14),A145)))&gt;0,"Negative","Neutral")))</f>
        <v>Neutral</v>
      </c>
    </row>
    <row r="146" spans="1:3" x14ac:dyDescent="0.25">
      <c r="A146" t="s">
        <v>36</v>
      </c>
      <c r="B146">
        <v>3</v>
      </c>
      <c r="C146" t="str">
        <f>IF(AND(SUMPRODUCT(--ISNUMBER(SEARCH(TRIM(Keywords!$A$2:$A$16),A146)))&gt;0,
        SUMPRODUCT(--ISNUMBER(SEARCH(TRIM(Keywords!$B$2:$B$14),A146)))&gt;0),"Neutral",
IF(SUMPRODUCT(--ISNUMBER(SEARCH(TRIM(Keywords!$A$2:$A$16),A146)))&gt;0,"Positive",
IF(SUMPRODUCT(--ISNUMBER(SEARCH(TRIM(Keywords!$A$2:$B$14),A146)))&gt;0,"Negative","Neutral")))</f>
        <v>Neutral</v>
      </c>
    </row>
    <row r="147" spans="1:3" x14ac:dyDescent="0.25">
      <c r="A147" t="s">
        <v>122</v>
      </c>
      <c r="B147">
        <v>1</v>
      </c>
      <c r="C147" t="str">
        <f>IF(AND(SUMPRODUCT(--ISNUMBER(SEARCH(TRIM(Keywords!$A$2:$A$16),A147)))&gt;0,
        SUMPRODUCT(--ISNUMBER(SEARCH(TRIM(Keywords!$B$2:$B$14),A147)))&gt;0),"Neutral",
IF(SUMPRODUCT(--ISNUMBER(SEARCH(TRIM(Keywords!$A$2:$A$16),A147)))&gt;0,"Positive",
IF(SUMPRODUCT(--ISNUMBER(SEARCH(TRIM(Keywords!$A$2:$B$14),A147)))&gt;0,"Negative","Neutral")))</f>
        <v>Neutral</v>
      </c>
    </row>
    <row r="148" spans="1:3" x14ac:dyDescent="0.25">
      <c r="A148" t="s">
        <v>123</v>
      </c>
      <c r="B148">
        <v>3</v>
      </c>
      <c r="C148" t="str">
        <f>IF(AND(SUMPRODUCT(--ISNUMBER(SEARCH(TRIM(Keywords!$A$2:$A$16),A148)))&gt;0,
        SUMPRODUCT(--ISNUMBER(SEARCH(TRIM(Keywords!$B$2:$B$14),A148)))&gt;0),"Neutral",
IF(SUMPRODUCT(--ISNUMBER(SEARCH(TRIM(Keywords!$A$2:$A$16),A148)))&gt;0,"Positive",
IF(SUMPRODUCT(--ISNUMBER(SEARCH(TRIM(Keywords!$A$2:$B$14),A148)))&gt;0,"Negative","Neutral")))</f>
        <v>Neutral</v>
      </c>
    </row>
    <row r="149" spans="1:3" hidden="1" x14ac:dyDescent="0.25">
      <c r="A149" t="s">
        <v>124</v>
      </c>
      <c r="B149">
        <v>5</v>
      </c>
      <c r="C149" t="str">
        <f>IF(AND(SUMPRODUCT(--ISNUMBER(SEARCH(TRIM(Keywords!$A$2:$A$16),A149)))&gt;0,
        SUMPRODUCT(--ISNUMBER(SEARCH(TRIM(Keywords!$B$2:$B$14),A149)))&gt;0),"Neutral",
IF(SUMPRODUCT(--ISNUMBER(SEARCH(TRIM(Keywords!$A$2:$A$16),A149)))&gt;0,"Positive",
IF(SUMPRODUCT(--ISNUMBER(SEARCH(TRIM(Keywords!$A$2:$B$14),A149)))&gt;0,"Negative","Neutral")))</f>
        <v>Positive</v>
      </c>
    </row>
    <row r="150" spans="1:3" x14ac:dyDescent="0.25">
      <c r="A150" t="s">
        <v>125</v>
      </c>
      <c r="B150">
        <v>1</v>
      </c>
      <c r="C150" t="str">
        <f>IF(AND(SUMPRODUCT(--ISNUMBER(SEARCH(TRIM(Keywords!$A$2:$A$16),A150)))&gt;0,
        SUMPRODUCT(--ISNUMBER(SEARCH(TRIM(Keywords!$B$2:$B$14),A150)))&gt;0),"Neutral",
IF(SUMPRODUCT(--ISNUMBER(SEARCH(TRIM(Keywords!$A$2:$A$16),A150)))&gt;0,"Positive",
IF(SUMPRODUCT(--ISNUMBER(SEARCH(TRIM(Keywords!$A$2:$B$14),A150)))&gt;0,"Negative","Neutral")))</f>
        <v>Neutral</v>
      </c>
    </row>
    <row r="151" spans="1:3" x14ac:dyDescent="0.25">
      <c r="A151" t="s">
        <v>126</v>
      </c>
      <c r="B151">
        <v>3</v>
      </c>
      <c r="C151" t="str">
        <f>IF(AND(SUMPRODUCT(--ISNUMBER(SEARCH(TRIM(Keywords!$A$2:$A$16),A151)))&gt;0,
        SUMPRODUCT(--ISNUMBER(SEARCH(TRIM(Keywords!$B$2:$B$14),A151)))&gt;0),"Neutral",
IF(SUMPRODUCT(--ISNUMBER(SEARCH(TRIM(Keywords!$A$2:$A$16),A151)))&gt;0,"Positive",
IF(SUMPRODUCT(--ISNUMBER(SEARCH(TRIM(Keywords!$A$2:$B$14),A151)))&gt;0,"Negative","Neutral")))</f>
        <v>Neutral</v>
      </c>
    </row>
    <row r="152" spans="1:3" x14ac:dyDescent="0.25">
      <c r="A152" t="s">
        <v>127</v>
      </c>
      <c r="B152">
        <v>1</v>
      </c>
      <c r="C152" t="str">
        <f>IF(AND(SUMPRODUCT(--ISNUMBER(SEARCH(TRIM(Keywords!$A$2:$A$16),A152)))&gt;0,
        SUMPRODUCT(--ISNUMBER(SEARCH(TRIM(Keywords!$B$2:$B$14),A152)))&gt;0),"Neutral",
IF(SUMPRODUCT(--ISNUMBER(SEARCH(TRIM(Keywords!$A$2:$A$16),A152)))&gt;0,"Positive",
IF(SUMPRODUCT(--ISNUMBER(SEARCH(TRIM(Keywords!$A$2:$B$14),A152)))&gt;0,"Negative","Neutral")))</f>
        <v>Neutral</v>
      </c>
    </row>
    <row r="153" spans="1:3" x14ac:dyDescent="0.25">
      <c r="A153" t="s">
        <v>128</v>
      </c>
      <c r="B153">
        <v>1</v>
      </c>
      <c r="C153" t="str">
        <f>IF(AND(SUMPRODUCT(--ISNUMBER(SEARCH(TRIM(Keywords!$A$2:$A$16),A153)))&gt;0,
        SUMPRODUCT(--ISNUMBER(SEARCH(TRIM(Keywords!$B$2:$B$14),A153)))&gt;0),"Neutral",
IF(SUMPRODUCT(--ISNUMBER(SEARCH(TRIM(Keywords!$A$2:$A$16),A153)))&gt;0,"Positive",
IF(SUMPRODUCT(--ISNUMBER(SEARCH(TRIM(Keywords!$A$2:$B$14),A153)))&gt;0,"Negative","Neutral")))</f>
        <v>Neutral</v>
      </c>
    </row>
    <row r="154" spans="1:3" hidden="1" x14ac:dyDescent="0.25">
      <c r="A154" t="s">
        <v>2</v>
      </c>
      <c r="B154">
        <v>5</v>
      </c>
      <c r="C154" t="str">
        <f>IF(AND(SUMPRODUCT(--ISNUMBER(SEARCH(TRIM(Keywords!$A$2:$A$16),A154)))&gt;0,
        SUMPRODUCT(--ISNUMBER(SEARCH(TRIM(Keywords!$B$2:$B$14),A154)))&gt;0),"Neutral",
IF(SUMPRODUCT(--ISNUMBER(SEARCH(TRIM(Keywords!$A$2:$A$16),A154)))&gt;0,"Positive",
IF(SUMPRODUCT(--ISNUMBER(SEARCH(TRIM(Keywords!$A$2:$B$14),A154)))&gt;0,"Negative","Neutral")))</f>
        <v>Positive</v>
      </c>
    </row>
    <row r="155" spans="1:3" hidden="1" x14ac:dyDescent="0.25">
      <c r="A155" t="s">
        <v>129</v>
      </c>
      <c r="B155">
        <v>4</v>
      </c>
      <c r="C155" t="str">
        <f>IF(AND(SUMPRODUCT(--ISNUMBER(SEARCH(TRIM(Keywords!$A$2:$A$16),A155)))&gt;0,
        SUMPRODUCT(--ISNUMBER(SEARCH(TRIM(Keywords!$B$2:$B$14),A155)))&gt;0),"Neutral",
IF(SUMPRODUCT(--ISNUMBER(SEARCH(TRIM(Keywords!$A$2:$A$16),A155)))&gt;0,"Positive",
IF(SUMPRODUCT(--ISNUMBER(SEARCH(TRIM(Keywords!$A$2:$B$14),A155)))&gt;0,"Negative","Neutral")))</f>
        <v>Positive</v>
      </c>
    </row>
    <row r="156" spans="1:3" hidden="1" x14ac:dyDescent="0.25">
      <c r="A156" t="s">
        <v>2</v>
      </c>
      <c r="B156">
        <v>5</v>
      </c>
      <c r="C156" t="str">
        <f>IF(AND(SUMPRODUCT(--ISNUMBER(SEARCH(TRIM(Keywords!$A$2:$A$16),A156)))&gt;0,
        SUMPRODUCT(--ISNUMBER(SEARCH(TRIM(Keywords!$B$2:$B$14),A156)))&gt;0),"Neutral",
IF(SUMPRODUCT(--ISNUMBER(SEARCH(TRIM(Keywords!$A$2:$A$16),A156)))&gt;0,"Positive",
IF(SUMPRODUCT(--ISNUMBER(SEARCH(TRIM(Keywords!$A$2:$B$14),A156)))&gt;0,"Negative","Neutral")))</f>
        <v>Positive</v>
      </c>
    </row>
    <row r="157" spans="1:3" x14ac:dyDescent="0.25">
      <c r="A157" t="s">
        <v>130</v>
      </c>
      <c r="B157">
        <v>5</v>
      </c>
      <c r="C157" t="str">
        <f>IF(AND(SUMPRODUCT(--ISNUMBER(SEARCH(TRIM(Keywords!$A$2:$A$16),A157)))&gt;0,
        SUMPRODUCT(--ISNUMBER(SEARCH(TRIM(Keywords!$B$2:$B$14),A157)))&gt;0),"Neutral",
IF(SUMPRODUCT(--ISNUMBER(SEARCH(TRIM(Keywords!$A$2:$A$16),A157)))&gt;0,"Positive",
IF(SUMPRODUCT(--ISNUMBER(SEARCH(TRIM(Keywords!$A$2:$B$14),A157)))&gt;0,"Negative","Neutral")))</f>
        <v>Neutral</v>
      </c>
    </row>
    <row r="158" spans="1:3" x14ac:dyDescent="0.25">
      <c r="A158" t="s">
        <v>131</v>
      </c>
      <c r="B158">
        <v>5</v>
      </c>
      <c r="C158" t="str">
        <f>IF(AND(SUMPRODUCT(--ISNUMBER(SEARCH(TRIM(Keywords!$A$2:$A$16),A158)))&gt;0,
        SUMPRODUCT(--ISNUMBER(SEARCH(TRIM(Keywords!$B$2:$B$14),A158)))&gt;0),"Neutral",
IF(SUMPRODUCT(--ISNUMBER(SEARCH(TRIM(Keywords!$A$2:$A$16),A158)))&gt;0,"Positive",
IF(SUMPRODUCT(--ISNUMBER(SEARCH(TRIM(Keywords!$A$2:$B$14),A158)))&gt;0,"Negative","Neutral")))</f>
        <v>Neutral</v>
      </c>
    </row>
    <row r="159" spans="1:3" x14ac:dyDescent="0.25">
      <c r="A159" t="s">
        <v>36</v>
      </c>
      <c r="B159">
        <v>3</v>
      </c>
      <c r="C159" t="str">
        <f>IF(AND(SUMPRODUCT(--ISNUMBER(SEARCH(TRIM(Keywords!$A$2:$A$16),A159)))&gt;0,
        SUMPRODUCT(--ISNUMBER(SEARCH(TRIM(Keywords!$B$2:$B$14),A159)))&gt;0),"Neutral",
IF(SUMPRODUCT(--ISNUMBER(SEARCH(TRIM(Keywords!$A$2:$A$16),A159)))&gt;0,"Positive",
IF(SUMPRODUCT(--ISNUMBER(SEARCH(TRIM(Keywords!$A$2:$B$14),A159)))&gt;0,"Negative","Neutral")))</f>
        <v>Neutral</v>
      </c>
    </row>
    <row r="160" spans="1:3" hidden="1" x14ac:dyDescent="0.25">
      <c r="A160" t="s">
        <v>132</v>
      </c>
      <c r="B160">
        <v>4</v>
      </c>
      <c r="C160" t="str">
        <f>IF(AND(SUMPRODUCT(--ISNUMBER(SEARCH(TRIM(Keywords!$A$2:$A$16),A160)))&gt;0,
        SUMPRODUCT(--ISNUMBER(SEARCH(TRIM(Keywords!$B$2:$B$14),A160)))&gt;0),"Neutral",
IF(SUMPRODUCT(--ISNUMBER(SEARCH(TRIM(Keywords!$A$2:$A$16),A160)))&gt;0,"Positive",
IF(SUMPRODUCT(--ISNUMBER(SEARCH(TRIM(Keywords!$A$2:$B$14),A160)))&gt;0,"Negative","Neutral")))</f>
        <v>Positive</v>
      </c>
    </row>
    <row r="161" spans="1:3" hidden="1" x14ac:dyDescent="0.25">
      <c r="A161" t="s">
        <v>37</v>
      </c>
      <c r="B161">
        <v>3</v>
      </c>
      <c r="C161" t="str">
        <f>IF(AND(SUMPRODUCT(--ISNUMBER(SEARCH(TRIM(Keywords!$A$2:$A$16),A161)))&gt;0,
        SUMPRODUCT(--ISNUMBER(SEARCH(TRIM(Keywords!$B$2:$B$14),A161)))&gt;0),"Neutral",
IF(SUMPRODUCT(--ISNUMBER(SEARCH(TRIM(Keywords!$A$2:$A$16),A161)))&gt;0,"Positive",
IF(SUMPRODUCT(--ISNUMBER(SEARCH(TRIM(Keywords!$A$2:$B$14),A161)))&gt;0,"Negative","Neutral")))</f>
        <v>Positive</v>
      </c>
    </row>
    <row r="162" spans="1:3" hidden="1" x14ac:dyDescent="0.25">
      <c r="A162" t="s">
        <v>133</v>
      </c>
      <c r="B162">
        <v>5</v>
      </c>
      <c r="C162" t="str">
        <f>IF(AND(SUMPRODUCT(--ISNUMBER(SEARCH(TRIM(Keywords!$A$2:$A$16),A162)))&gt;0,
        SUMPRODUCT(--ISNUMBER(SEARCH(TRIM(Keywords!$B$2:$B$14),A162)))&gt;0),"Neutral",
IF(SUMPRODUCT(--ISNUMBER(SEARCH(TRIM(Keywords!$A$2:$A$16),A162)))&gt;0,"Positive",
IF(SUMPRODUCT(--ISNUMBER(SEARCH(TRIM(Keywords!$A$2:$B$14),A162)))&gt;0,"Negative","Neutral")))</f>
        <v>Negative</v>
      </c>
    </row>
    <row r="163" spans="1:3" hidden="1" x14ac:dyDescent="0.25">
      <c r="A163" t="s">
        <v>134</v>
      </c>
      <c r="B163">
        <v>5</v>
      </c>
      <c r="C163" t="str">
        <f>IF(AND(SUMPRODUCT(--ISNUMBER(SEARCH(TRIM(Keywords!$A$2:$A$16),A163)))&gt;0,
        SUMPRODUCT(--ISNUMBER(SEARCH(TRIM(Keywords!$B$2:$B$14),A163)))&gt;0),"Neutral",
IF(SUMPRODUCT(--ISNUMBER(SEARCH(TRIM(Keywords!$A$2:$A$16),A163)))&gt;0,"Positive",
IF(SUMPRODUCT(--ISNUMBER(SEARCH(TRIM(Keywords!$A$2:$B$14),A163)))&gt;0,"Negative","Neutral")))</f>
        <v>Positive</v>
      </c>
    </row>
    <row r="164" spans="1:3" x14ac:dyDescent="0.25">
      <c r="A164" t="s">
        <v>135</v>
      </c>
      <c r="B164">
        <v>1</v>
      </c>
      <c r="C164" t="str">
        <f>IF(AND(SUMPRODUCT(--ISNUMBER(SEARCH(TRIM(Keywords!$A$2:$A$16),A164)))&gt;0,
        SUMPRODUCT(--ISNUMBER(SEARCH(TRIM(Keywords!$B$2:$B$14),A164)))&gt;0),"Neutral",
IF(SUMPRODUCT(--ISNUMBER(SEARCH(TRIM(Keywords!$A$2:$A$16),A164)))&gt;0,"Positive",
IF(SUMPRODUCT(--ISNUMBER(SEARCH(TRIM(Keywords!$A$2:$B$14),A164)))&gt;0,"Negative","Neutral")))</f>
        <v>Neutral</v>
      </c>
    </row>
    <row r="165" spans="1:3" x14ac:dyDescent="0.25">
      <c r="A165" t="s">
        <v>34</v>
      </c>
      <c r="B165">
        <v>3</v>
      </c>
      <c r="C165" t="str">
        <f>IF(AND(SUMPRODUCT(--ISNUMBER(SEARCH(TRIM(Keywords!$A$2:$A$16),A165)))&gt;0,
        SUMPRODUCT(--ISNUMBER(SEARCH(TRIM(Keywords!$B$2:$B$14),A165)))&gt;0),"Neutral",
IF(SUMPRODUCT(--ISNUMBER(SEARCH(TRIM(Keywords!$A$2:$A$16),A165)))&gt;0,"Positive",
IF(SUMPRODUCT(--ISNUMBER(SEARCH(TRIM(Keywords!$A$2:$B$14),A165)))&gt;0,"Negative","Neutral")))</f>
        <v>Neutral</v>
      </c>
    </row>
    <row r="166" spans="1:3" x14ac:dyDescent="0.25">
      <c r="A166" t="s">
        <v>36</v>
      </c>
      <c r="B166">
        <v>3</v>
      </c>
      <c r="C166" t="str">
        <f>IF(AND(SUMPRODUCT(--ISNUMBER(SEARCH(TRIM(Keywords!$A$2:$A$16),A166)))&gt;0,
        SUMPRODUCT(--ISNUMBER(SEARCH(TRIM(Keywords!$B$2:$B$14),A166)))&gt;0),"Neutral",
IF(SUMPRODUCT(--ISNUMBER(SEARCH(TRIM(Keywords!$A$2:$A$16),A166)))&gt;0,"Positive",
IF(SUMPRODUCT(--ISNUMBER(SEARCH(TRIM(Keywords!$A$2:$B$14),A166)))&gt;0,"Negative","Neutral")))</f>
        <v>Neutral</v>
      </c>
    </row>
    <row r="167" spans="1:3" hidden="1" x14ac:dyDescent="0.25">
      <c r="A167" t="s">
        <v>37</v>
      </c>
      <c r="B167">
        <v>5</v>
      </c>
      <c r="C167" t="str">
        <f>IF(AND(SUMPRODUCT(--ISNUMBER(SEARCH(TRIM(Keywords!$A$2:$A$16),A167)))&gt;0,
        SUMPRODUCT(--ISNUMBER(SEARCH(TRIM(Keywords!$B$2:$B$14),A167)))&gt;0),"Neutral",
IF(SUMPRODUCT(--ISNUMBER(SEARCH(TRIM(Keywords!$A$2:$A$16),A167)))&gt;0,"Positive",
IF(SUMPRODUCT(--ISNUMBER(SEARCH(TRIM(Keywords!$A$2:$B$14),A167)))&gt;0,"Negative","Neutral")))</f>
        <v>Positive</v>
      </c>
    </row>
    <row r="168" spans="1:3" hidden="1" x14ac:dyDescent="0.25">
      <c r="A168" t="s">
        <v>2</v>
      </c>
      <c r="B168">
        <v>5</v>
      </c>
      <c r="C168" t="str">
        <f>IF(AND(SUMPRODUCT(--ISNUMBER(SEARCH(TRIM(Keywords!$A$2:$A$16),A168)))&gt;0,
        SUMPRODUCT(--ISNUMBER(SEARCH(TRIM(Keywords!$B$2:$B$14),A168)))&gt;0),"Neutral",
IF(SUMPRODUCT(--ISNUMBER(SEARCH(TRIM(Keywords!$A$2:$A$16),A168)))&gt;0,"Positive",
IF(SUMPRODUCT(--ISNUMBER(SEARCH(TRIM(Keywords!$A$2:$B$14),A168)))&gt;0,"Negative","Neutral")))</f>
        <v>Positive</v>
      </c>
    </row>
    <row r="169" spans="1:3" hidden="1" x14ac:dyDescent="0.25">
      <c r="A169" t="s">
        <v>136</v>
      </c>
      <c r="B169">
        <v>5</v>
      </c>
      <c r="C169" t="str">
        <f>IF(AND(SUMPRODUCT(--ISNUMBER(SEARCH(TRIM(Keywords!$A$2:$A$16),A169)))&gt;0,
        SUMPRODUCT(--ISNUMBER(SEARCH(TRIM(Keywords!$B$2:$B$14),A169)))&gt;0),"Neutral",
IF(SUMPRODUCT(--ISNUMBER(SEARCH(TRIM(Keywords!$A$2:$A$16),A169)))&gt;0,"Positive",
IF(SUMPRODUCT(--ISNUMBER(SEARCH(TRIM(Keywords!$A$2:$B$14),A169)))&gt;0,"Negative","Neutral")))</f>
        <v>Positive</v>
      </c>
    </row>
    <row r="170" spans="1:3" x14ac:dyDescent="0.25">
      <c r="A170" t="s">
        <v>137</v>
      </c>
      <c r="B170">
        <v>3</v>
      </c>
      <c r="C170" t="str">
        <f>IF(AND(SUMPRODUCT(--ISNUMBER(SEARCH(TRIM(Keywords!$A$2:$A$16),A170)))&gt;0,
        SUMPRODUCT(--ISNUMBER(SEARCH(TRIM(Keywords!$B$2:$B$14),A170)))&gt;0),"Neutral",
IF(SUMPRODUCT(--ISNUMBER(SEARCH(TRIM(Keywords!$A$2:$A$16),A170)))&gt;0,"Positive",
IF(SUMPRODUCT(--ISNUMBER(SEARCH(TRIM(Keywords!$A$2:$B$14),A170)))&gt;0,"Negative","Neutral")))</f>
        <v>Neutral</v>
      </c>
    </row>
    <row r="171" spans="1:3" x14ac:dyDescent="0.25">
      <c r="A171">
        <v>13445667</v>
      </c>
      <c r="B171">
        <v>3</v>
      </c>
      <c r="C171" t="str">
        <f>IF(AND(SUMPRODUCT(--ISNUMBER(SEARCH(TRIM(Keywords!$A$2:$A$16),A171)))&gt;0,
        SUMPRODUCT(--ISNUMBER(SEARCH(TRIM(Keywords!$B$2:$B$14),A171)))&gt;0),"Neutral",
IF(SUMPRODUCT(--ISNUMBER(SEARCH(TRIM(Keywords!$A$2:$A$16),A171)))&gt;0,"Positive",
IF(SUMPRODUCT(--ISNUMBER(SEARCH(TRIM(Keywords!$A$2:$B$14),A171)))&gt;0,"Negative","Neutral")))</f>
        <v>Neutral</v>
      </c>
    </row>
    <row r="172" spans="1:3" x14ac:dyDescent="0.25">
      <c r="A172" t="s">
        <v>138</v>
      </c>
      <c r="B172">
        <v>3</v>
      </c>
      <c r="C172" t="str">
        <f>IF(AND(SUMPRODUCT(--ISNUMBER(SEARCH(TRIM(Keywords!$A$2:$A$16),A172)))&gt;0,
        SUMPRODUCT(--ISNUMBER(SEARCH(TRIM(Keywords!$B$2:$B$14),A172)))&gt;0),"Neutral",
IF(SUMPRODUCT(--ISNUMBER(SEARCH(TRIM(Keywords!$A$2:$A$16),A172)))&gt;0,"Positive",
IF(SUMPRODUCT(--ISNUMBER(SEARCH(TRIM(Keywords!$A$2:$B$14),A172)))&gt;0,"Negative","Neutral")))</f>
        <v>Neutral</v>
      </c>
    </row>
    <row r="173" spans="1:3" hidden="1" x14ac:dyDescent="0.25">
      <c r="A173" t="s">
        <v>2</v>
      </c>
      <c r="B173">
        <v>5</v>
      </c>
      <c r="C173" t="str">
        <f>IF(AND(SUMPRODUCT(--ISNUMBER(SEARCH(TRIM(Keywords!$A$2:$A$16),A173)))&gt;0,
        SUMPRODUCT(--ISNUMBER(SEARCH(TRIM(Keywords!$B$2:$B$14),A173)))&gt;0),"Neutral",
IF(SUMPRODUCT(--ISNUMBER(SEARCH(TRIM(Keywords!$A$2:$A$16),A173)))&gt;0,"Positive",
IF(SUMPRODUCT(--ISNUMBER(SEARCH(TRIM(Keywords!$A$2:$B$14),A173)))&gt;0,"Negative","Neutral")))</f>
        <v>Positive</v>
      </c>
    </row>
    <row r="174" spans="1:3" hidden="1" x14ac:dyDescent="0.25">
      <c r="A174" t="s">
        <v>50</v>
      </c>
      <c r="B174">
        <v>5</v>
      </c>
      <c r="C174" t="str">
        <f>IF(AND(SUMPRODUCT(--ISNUMBER(SEARCH(TRIM(Keywords!$A$2:$A$16),A174)))&gt;0,
        SUMPRODUCT(--ISNUMBER(SEARCH(TRIM(Keywords!$B$2:$B$14),A174)))&gt;0),"Neutral",
IF(SUMPRODUCT(--ISNUMBER(SEARCH(TRIM(Keywords!$A$2:$A$16),A174)))&gt;0,"Positive",
IF(SUMPRODUCT(--ISNUMBER(SEARCH(TRIM(Keywords!$A$2:$B$14),A174)))&gt;0,"Negative","Neutral")))</f>
        <v>Positive</v>
      </c>
    </row>
    <row r="175" spans="1:3" hidden="1" x14ac:dyDescent="0.25">
      <c r="A175" t="s">
        <v>139</v>
      </c>
      <c r="B175">
        <v>1</v>
      </c>
      <c r="C175" t="str">
        <f>IF(AND(SUMPRODUCT(--ISNUMBER(SEARCH(TRIM(Keywords!$A$2:$A$16),A175)))&gt;0,
        SUMPRODUCT(--ISNUMBER(SEARCH(TRIM(Keywords!$B$2:$B$14),A175)))&gt;0),"Neutral",
IF(SUMPRODUCT(--ISNUMBER(SEARCH(TRIM(Keywords!$A$2:$A$16),A175)))&gt;0,"Positive",
IF(SUMPRODUCT(--ISNUMBER(SEARCH(TRIM(Keywords!$A$2:$B$14),A175)))&gt;0,"Negative","Neutral")))</f>
        <v>Negative</v>
      </c>
    </row>
    <row r="176" spans="1:3" hidden="1" x14ac:dyDescent="0.25">
      <c r="A176" t="s">
        <v>38</v>
      </c>
      <c r="B176">
        <v>4</v>
      </c>
      <c r="C176" t="str">
        <f>IF(AND(SUMPRODUCT(--ISNUMBER(SEARCH(TRIM(Keywords!$A$2:$A$16),A176)))&gt;0,
        SUMPRODUCT(--ISNUMBER(SEARCH(TRIM(Keywords!$B$2:$B$14),A176)))&gt;0),"Neutral",
IF(SUMPRODUCT(--ISNUMBER(SEARCH(TRIM(Keywords!$A$2:$A$16),A176)))&gt;0,"Positive",
IF(SUMPRODUCT(--ISNUMBER(SEARCH(TRIM(Keywords!$A$2:$B$14),A176)))&gt;0,"Negative","Neutral")))</f>
        <v>Positive</v>
      </c>
    </row>
    <row r="177" spans="1:3" hidden="1" x14ac:dyDescent="0.25">
      <c r="A177" t="s">
        <v>140</v>
      </c>
      <c r="B177">
        <v>4</v>
      </c>
      <c r="C177" t="str">
        <f>IF(AND(SUMPRODUCT(--ISNUMBER(SEARCH(TRIM(Keywords!$A$2:$A$16),A177)))&gt;0,
        SUMPRODUCT(--ISNUMBER(SEARCH(TRIM(Keywords!$B$2:$B$14),A177)))&gt;0),"Neutral",
IF(SUMPRODUCT(--ISNUMBER(SEARCH(TRIM(Keywords!$A$2:$A$16),A177)))&gt;0,"Positive",
IF(SUMPRODUCT(--ISNUMBER(SEARCH(TRIM(Keywords!$A$2:$B$14),A177)))&gt;0,"Negative","Neutral")))</f>
        <v>Positive</v>
      </c>
    </row>
    <row r="178" spans="1:3" hidden="1" x14ac:dyDescent="0.25">
      <c r="A178" t="s">
        <v>2</v>
      </c>
      <c r="B178">
        <v>5</v>
      </c>
      <c r="C178" t="str">
        <f>IF(AND(SUMPRODUCT(--ISNUMBER(SEARCH(TRIM(Keywords!$A$2:$A$16),A178)))&gt;0,
        SUMPRODUCT(--ISNUMBER(SEARCH(TRIM(Keywords!$B$2:$B$14),A178)))&gt;0),"Neutral",
IF(SUMPRODUCT(--ISNUMBER(SEARCH(TRIM(Keywords!$A$2:$A$16),A178)))&gt;0,"Positive",
IF(SUMPRODUCT(--ISNUMBER(SEARCH(TRIM(Keywords!$A$2:$B$14),A178)))&gt;0,"Negative","Neutral")))</f>
        <v>Positive</v>
      </c>
    </row>
    <row r="179" spans="1:3" hidden="1" x14ac:dyDescent="0.25">
      <c r="A179" t="s">
        <v>2</v>
      </c>
      <c r="B179">
        <v>5</v>
      </c>
      <c r="C179" t="str">
        <f>IF(AND(SUMPRODUCT(--ISNUMBER(SEARCH(TRIM(Keywords!$A$2:$A$16),A179)))&gt;0,
        SUMPRODUCT(--ISNUMBER(SEARCH(TRIM(Keywords!$B$2:$B$14),A179)))&gt;0),"Neutral",
IF(SUMPRODUCT(--ISNUMBER(SEARCH(TRIM(Keywords!$A$2:$A$16),A179)))&gt;0,"Positive",
IF(SUMPRODUCT(--ISNUMBER(SEARCH(TRIM(Keywords!$A$2:$B$14),A179)))&gt;0,"Negative","Neutral")))</f>
        <v>Positive</v>
      </c>
    </row>
    <row r="180" spans="1:3" hidden="1" x14ac:dyDescent="0.25">
      <c r="A180" t="s">
        <v>141</v>
      </c>
      <c r="B180">
        <v>5</v>
      </c>
      <c r="C180" t="str">
        <f>IF(AND(SUMPRODUCT(--ISNUMBER(SEARCH(TRIM(Keywords!$A$2:$A$16),A180)))&gt;0,
        SUMPRODUCT(--ISNUMBER(SEARCH(TRIM(Keywords!$B$2:$B$14),A180)))&gt;0),"Neutral",
IF(SUMPRODUCT(--ISNUMBER(SEARCH(TRIM(Keywords!$A$2:$A$16),A180)))&gt;0,"Positive",
IF(SUMPRODUCT(--ISNUMBER(SEARCH(TRIM(Keywords!$A$2:$B$14),A180)))&gt;0,"Negative","Neutral")))</f>
        <v>Positive</v>
      </c>
    </row>
    <row r="181" spans="1:3" x14ac:dyDescent="0.25">
      <c r="A181" t="s">
        <v>36</v>
      </c>
      <c r="B181">
        <v>3</v>
      </c>
      <c r="C181" t="str">
        <f>IF(AND(SUMPRODUCT(--ISNUMBER(SEARCH(TRIM(Keywords!$A$2:$A$16),A181)))&gt;0,
        SUMPRODUCT(--ISNUMBER(SEARCH(TRIM(Keywords!$B$2:$B$14),A181)))&gt;0),"Neutral",
IF(SUMPRODUCT(--ISNUMBER(SEARCH(TRIM(Keywords!$A$2:$A$16),A181)))&gt;0,"Positive",
IF(SUMPRODUCT(--ISNUMBER(SEARCH(TRIM(Keywords!$A$2:$B$14),A181)))&gt;0,"Negative","Neutral")))</f>
        <v>Neutral</v>
      </c>
    </row>
    <row r="182" spans="1:3" x14ac:dyDescent="0.25">
      <c r="A182" t="s">
        <v>142</v>
      </c>
      <c r="B182">
        <v>3</v>
      </c>
      <c r="C182" t="str">
        <f>IF(AND(SUMPRODUCT(--ISNUMBER(SEARCH(TRIM(Keywords!$A$2:$A$16),A182)))&gt;0,
        SUMPRODUCT(--ISNUMBER(SEARCH(TRIM(Keywords!$B$2:$B$14),A182)))&gt;0),"Neutral",
IF(SUMPRODUCT(--ISNUMBER(SEARCH(TRIM(Keywords!$A$2:$A$16),A182)))&gt;0,"Positive",
IF(SUMPRODUCT(--ISNUMBER(SEARCH(TRIM(Keywords!$A$2:$B$14),A182)))&gt;0,"Negative","Neutral")))</f>
        <v>Neutral</v>
      </c>
    </row>
    <row r="183" spans="1:3" x14ac:dyDescent="0.25">
      <c r="A183" t="s">
        <v>143</v>
      </c>
      <c r="B183">
        <v>3</v>
      </c>
      <c r="C183" t="str">
        <f>IF(AND(SUMPRODUCT(--ISNUMBER(SEARCH(TRIM(Keywords!$A$2:$A$16),A183)))&gt;0,
        SUMPRODUCT(--ISNUMBER(SEARCH(TRIM(Keywords!$B$2:$B$14),A183)))&gt;0),"Neutral",
IF(SUMPRODUCT(--ISNUMBER(SEARCH(TRIM(Keywords!$A$2:$A$16),A183)))&gt;0,"Positive",
IF(SUMPRODUCT(--ISNUMBER(SEARCH(TRIM(Keywords!$A$2:$B$14),A183)))&gt;0,"Negative","Neutral")))</f>
        <v>Neutral</v>
      </c>
    </row>
    <row r="184" spans="1:3" x14ac:dyDescent="0.25">
      <c r="A184" t="s">
        <v>144</v>
      </c>
      <c r="B184">
        <v>3</v>
      </c>
      <c r="C184" t="str">
        <f>IF(AND(SUMPRODUCT(--ISNUMBER(SEARCH(TRIM(Keywords!$A$2:$A$16),A184)))&gt;0,
        SUMPRODUCT(--ISNUMBER(SEARCH(TRIM(Keywords!$B$2:$B$14),A184)))&gt;0),"Neutral",
IF(SUMPRODUCT(--ISNUMBER(SEARCH(TRIM(Keywords!$A$2:$A$16),A184)))&gt;0,"Positive",
IF(SUMPRODUCT(--ISNUMBER(SEARCH(TRIM(Keywords!$A$2:$B$14),A184)))&gt;0,"Negative","Neutral")))</f>
        <v>Neutral</v>
      </c>
    </row>
    <row r="185" spans="1:3" hidden="1" x14ac:dyDescent="0.25">
      <c r="A185" t="s">
        <v>2</v>
      </c>
      <c r="B185">
        <v>5</v>
      </c>
      <c r="C185" t="str">
        <f>IF(AND(SUMPRODUCT(--ISNUMBER(SEARCH(TRIM(Keywords!$A$2:$A$16),A185)))&gt;0,
        SUMPRODUCT(--ISNUMBER(SEARCH(TRIM(Keywords!$B$2:$B$14),A185)))&gt;0),"Neutral",
IF(SUMPRODUCT(--ISNUMBER(SEARCH(TRIM(Keywords!$A$2:$A$16),A185)))&gt;0,"Positive",
IF(SUMPRODUCT(--ISNUMBER(SEARCH(TRIM(Keywords!$A$2:$B$14),A185)))&gt;0,"Negative","Neutral")))</f>
        <v>Positive</v>
      </c>
    </row>
    <row r="186" spans="1:3" hidden="1" x14ac:dyDescent="0.25">
      <c r="A186" t="s">
        <v>2</v>
      </c>
      <c r="B186">
        <v>5</v>
      </c>
      <c r="C186" t="str">
        <f>IF(AND(SUMPRODUCT(--ISNUMBER(SEARCH(TRIM(Keywords!$A$2:$A$16),A186)))&gt;0,
        SUMPRODUCT(--ISNUMBER(SEARCH(TRIM(Keywords!$B$2:$B$14),A186)))&gt;0),"Neutral",
IF(SUMPRODUCT(--ISNUMBER(SEARCH(TRIM(Keywords!$A$2:$A$16),A186)))&gt;0,"Positive",
IF(SUMPRODUCT(--ISNUMBER(SEARCH(TRIM(Keywords!$A$2:$B$14),A186)))&gt;0,"Negative","Neutral")))</f>
        <v>Positive</v>
      </c>
    </row>
    <row r="187" spans="1:3" hidden="1" x14ac:dyDescent="0.25">
      <c r="A187" t="s">
        <v>145</v>
      </c>
      <c r="B187">
        <v>5</v>
      </c>
      <c r="C187" t="str">
        <f>IF(AND(SUMPRODUCT(--ISNUMBER(SEARCH(TRIM(Keywords!$A$2:$A$16),A187)))&gt;0,
        SUMPRODUCT(--ISNUMBER(SEARCH(TRIM(Keywords!$B$2:$B$14),A187)))&gt;0),"Neutral",
IF(SUMPRODUCT(--ISNUMBER(SEARCH(TRIM(Keywords!$A$2:$A$16),A187)))&gt;0,"Positive",
IF(SUMPRODUCT(--ISNUMBER(SEARCH(TRIM(Keywords!$A$2:$B$14),A187)))&gt;0,"Negative","Neutral")))</f>
        <v>Positive</v>
      </c>
    </row>
    <row r="188" spans="1:3" x14ac:dyDescent="0.25">
      <c r="A188" t="s">
        <v>146</v>
      </c>
      <c r="B188">
        <v>1</v>
      </c>
      <c r="C188" t="str">
        <f>IF(AND(SUMPRODUCT(--ISNUMBER(SEARCH(TRIM(Keywords!$A$2:$A$16),A188)))&gt;0,
        SUMPRODUCT(--ISNUMBER(SEARCH(TRIM(Keywords!$B$2:$B$14),A188)))&gt;0),"Neutral",
IF(SUMPRODUCT(--ISNUMBER(SEARCH(TRIM(Keywords!$A$2:$A$16),A188)))&gt;0,"Positive",
IF(SUMPRODUCT(--ISNUMBER(SEARCH(TRIM(Keywords!$A$2:$B$14),A188)))&gt;0,"Negative","Neutral")))</f>
        <v>Neutral</v>
      </c>
    </row>
    <row r="189" spans="1:3" x14ac:dyDescent="0.25">
      <c r="A189" t="s">
        <v>147</v>
      </c>
      <c r="B189">
        <v>1</v>
      </c>
      <c r="C189" t="str">
        <f>IF(AND(SUMPRODUCT(--ISNUMBER(SEARCH(TRIM(Keywords!$A$2:$A$16),A189)))&gt;0,
        SUMPRODUCT(--ISNUMBER(SEARCH(TRIM(Keywords!$B$2:$B$14),A189)))&gt;0),"Neutral",
IF(SUMPRODUCT(--ISNUMBER(SEARCH(TRIM(Keywords!$A$2:$A$16),A189)))&gt;0,"Positive",
IF(SUMPRODUCT(--ISNUMBER(SEARCH(TRIM(Keywords!$A$2:$B$14),A189)))&gt;0,"Negative","Neutral")))</f>
        <v>Neutral</v>
      </c>
    </row>
    <row r="190" spans="1:3" hidden="1" x14ac:dyDescent="0.25">
      <c r="A190" t="s">
        <v>2</v>
      </c>
      <c r="B190">
        <v>4</v>
      </c>
      <c r="C190" t="str">
        <f>IF(AND(SUMPRODUCT(--ISNUMBER(SEARCH(TRIM(Keywords!$A$2:$A$16),A190)))&gt;0,
        SUMPRODUCT(--ISNUMBER(SEARCH(TRIM(Keywords!$B$2:$B$14),A190)))&gt;0),"Neutral",
IF(SUMPRODUCT(--ISNUMBER(SEARCH(TRIM(Keywords!$A$2:$A$16),A190)))&gt;0,"Positive",
IF(SUMPRODUCT(--ISNUMBER(SEARCH(TRIM(Keywords!$A$2:$B$14),A190)))&gt;0,"Negative","Neutral")))</f>
        <v>Positive</v>
      </c>
    </row>
    <row r="191" spans="1:3" x14ac:dyDescent="0.25">
      <c r="A191" t="s">
        <v>148</v>
      </c>
      <c r="B191">
        <v>4</v>
      </c>
      <c r="C191" t="str">
        <f>IF(AND(SUMPRODUCT(--ISNUMBER(SEARCH(TRIM(Keywords!$A$2:$A$16),A191)))&gt;0,
        SUMPRODUCT(--ISNUMBER(SEARCH(TRIM(Keywords!$B$2:$B$14),A191)))&gt;0),"Neutral",
IF(SUMPRODUCT(--ISNUMBER(SEARCH(TRIM(Keywords!$A$2:$A$16),A191)))&gt;0,"Positive",
IF(SUMPRODUCT(--ISNUMBER(SEARCH(TRIM(Keywords!$A$2:$B$14),A191)))&gt;0,"Negative","Neutral")))</f>
        <v>Neutral</v>
      </c>
    </row>
    <row r="192" spans="1:3" hidden="1" x14ac:dyDescent="0.25">
      <c r="A192" t="s">
        <v>37</v>
      </c>
      <c r="B192">
        <v>4</v>
      </c>
      <c r="C192" t="str">
        <f>IF(AND(SUMPRODUCT(--ISNUMBER(SEARCH(TRIM(Keywords!$A$2:$A$16),A192)))&gt;0,
        SUMPRODUCT(--ISNUMBER(SEARCH(TRIM(Keywords!$B$2:$B$14),A192)))&gt;0),"Neutral",
IF(SUMPRODUCT(--ISNUMBER(SEARCH(TRIM(Keywords!$A$2:$A$16),A192)))&gt;0,"Positive",
IF(SUMPRODUCT(--ISNUMBER(SEARCH(TRIM(Keywords!$A$2:$B$14),A192)))&gt;0,"Negative","Neutral")))</f>
        <v>Positive</v>
      </c>
    </row>
    <row r="193" spans="1:3" hidden="1" x14ac:dyDescent="0.25">
      <c r="A193" t="s">
        <v>2</v>
      </c>
      <c r="B193">
        <v>5</v>
      </c>
      <c r="C193" t="str">
        <f>IF(AND(SUMPRODUCT(--ISNUMBER(SEARCH(TRIM(Keywords!$A$2:$A$16),A193)))&gt;0,
        SUMPRODUCT(--ISNUMBER(SEARCH(TRIM(Keywords!$B$2:$B$14),A193)))&gt;0),"Neutral",
IF(SUMPRODUCT(--ISNUMBER(SEARCH(TRIM(Keywords!$A$2:$A$16),A193)))&gt;0,"Positive",
IF(SUMPRODUCT(--ISNUMBER(SEARCH(TRIM(Keywords!$A$2:$B$14),A193)))&gt;0,"Negative","Neutral")))</f>
        <v>Positive</v>
      </c>
    </row>
    <row r="194" spans="1:3" x14ac:dyDescent="0.25">
      <c r="A194" t="s">
        <v>149</v>
      </c>
      <c r="B194">
        <v>3</v>
      </c>
      <c r="C194" t="str">
        <f>IF(AND(SUMPRODUCT(--ISNUMBER(SEARCH(TRIM(Keywords!$A$2:$A$16),A194)))&gt;0,
        SUMPRODUCT(--ISNUMBER(SEARCH(TRIM(Keywords!$B$2:$B$14),A194)))&gt;0),"Neutral",
IF(SUMPRODUCT(--ISNUMBER(SEARCH(TRIM(Keywords!$A$2:$A$16),A194)))&gt;0,"Positive",
IF(SUMPRODUCT(--ISNUMBER(SEARCH(TRIM(Keywords!$A$2:$B$14),A194)))&gt;0,"Negative","Neutral")))</f>
        <v>Neutral</v>
      </c>
    </row>
    <row r="195" spans="1:3" x14ac:dyDescent="0.25">
      <c r="A195" t="s">
        <v>150</v>
      </c>
      <c r="B195">
        <v>3</v>
      </c>
      <c r="C195" t="str">
        <f>IF(AND(SUMPRODUCT(--ISNUMBER(SEARCH(TRIM(Keywords!$A$2:$A$16),A195)))&gt;0,
        SUMPRODUCT(--ISNUMBER(SEARCH(TRIM(Keywords!$B$2:$B$14),A195)))&gt;0),"Neutral",
IF(SUMPRODUCT(--ISNUMBER(SEARCH(TRIM(Keywords!$A$2:$A$16),A195)))&gt;0,"Positive",
IF(SUMPRODUCT(--ISNUMBER(SEARCH(TRIM(Keywords!$A$2:$B$14),A195)))&gt;0,"Negative","Neutral")))</f>
        <v>Neutral</v>
      </c>
    </row>
    <row r="196" spans="1:3" x14ac:dyDescent="0.25">
      <c r="A196" t="s">
        <v>151</v>
      </c>
      <c r="B196">
        <v>1</v>
      </c>
      <c r="C196" t="str">
        <f>IF(AND(SUMPRODUCT(--ISNUMBER(SEARCH(TRIM(Keywords!$A$2:$A$16),A196)))&gt;0,
        SUMPRODUCT(--ISNUMBER(SEARCH(TRIM(Keywords!$B$2:$B$14),A196)))&gt;0),"Neutral",
IF(SUMPRODUCT(--ISNUMBER(SEARCH(TRIM(Keywords!$A$2:$A$16),A196)))&gt;0,"Positive",
IF(SUMPRODUCT(--ISNUMBER(SEARCH(TRIM(Keywords!$A$2:$B$14),A196)))&gt;0,"Negative","Neutral")))</f>
        <v>Neutral</v>
      </c>
    </row>
    <row r="197" spans="1:3" hidden="1" x14ac:dyDescent="0.25">
      <c r="A197" t="s">
        <v>2</v>
      </c>
      <c r="B197">
        <v>5</v>
      </c>
      <c r="C197" t="str">
        <f>IF(AND(SUMPRODUCT(--ISNUMBER(SEARCH(TRIM(Keywords!$A$2:$A$16),A197)))&gt;0,
        SUMPRODUCT(--ISNUMBER(SEARCH(TRIM(Keywords!$B$2:$B$14),A197)))&gt;0),"Neutral",
IF(SUMPRODUCT(--ISNUMBER(SEARCH(TRIM(Keywords!$A$2:$A$16),A197)))&gt;0,"Positive",
IF(SUMPRODUCT(--ISNUMBER(SEARCH(TRIM(Keywords!$A$2:$B$14),A197)))&gt;0,"Negative","Neutral")))</f>
        <v>Positive</v>
      </c>
    </row>
    <row r="198" spans="1:3" x14ac:dyDescent="0.25">
      <c r="A198" t="s">
        <v>152</v>
      </c>
      <c r="B198">
        <v>3</v>
      </c>
      <c r="C198" t="str">
        <f>IF(AND(SUMPRODUCT(--ISNUMBER(SEARCH(TRIM(Keywords!$A$2:$A$16),A198)))&gt;0,
        SUMPRODUCT(--ISNUMBER(SEARCH(TRIM(Keywords!$B$2:$B$14),A198)))&gt;0),"Neutral",
IF(SUMPRODUCT(--ISNUMBER(SEARCH(TRIM(Keywords!$A$2:$A$16),A198)))&gt;0,"Positive",
IF(SUMPRODUCT(--ISNUMBER(SEARCH(TRIM(Keywords!$A$2:$B$14),A198)))&gt;0,"Negative","Neutral")))</f>
        <v>Neutral</v>
      </c>
    </row>
    <row r="199" spans="1:3" hidden="1" x14ac:dyDescent="0.25">
      <c r="A199" t="s">
        <v>2</v>
      </c>
      <c r="B199">
        <v>5</v>
      </c>
      <c r="C199" t="str">
        <f>IF(AND(SUMPRODUCT(--ISNUMBER(SEARCH(TRIM(Keywords!$A$2:$A$16),A199)))&gt;0,
        SUMPRODUCT(--ISNUMBER(SEARCH(TRIM(Keywords!$B$2:$B$14),A199)))&gt;0),"Neutral",
IF(SUMPRODUCT(--ISNUMBER(SEARCH(TRIM(Keywords!$A$2:$A$16),A199)))&gt;0,"Positive",
IF(SUMPRODUCT(--ISNUMBER(SEARCH(TRIM(Keywords!$A$2:$B$14),A199)))&gt;0,"Negative","Neutral")))</f>
        <v>Positive</v>
      </c>
    </row>
    <row r="200" spans="1:3" hidden="1" x14ac:dyDescent="0.25">
      <c r="A200" t="s">
        <v>2</v>
      </c>
      <c r="B200">
        <v>5</v>
      </c>
      <c r="C200" t="str">
        <f>IF(AND(SUMPRODUCT(--ISNUMBER(SEARCH(TRIM(Keywords!$A$2:$A$16),A200)))&gt;0,
        SUMPRODUCT(--ISNUMBER(SEARCH(TRIM(Keywords!$B$2:$B$14),A200)))&gt;0),"Neutral",
IF(SUMPRODUCT(--ISNUMBER(SEARCH(TRIM(Keywords!$A$2:$A$16),A200)))&gt;0,"Positive",
IF(SUMPRODUCT(--ISNUMBER(SEARCH(TRIM(Keywords!$A$2:$B$14),A200)))&gt;0,"Negative","Neutral")))</f>
        <v>Positive</v>
      </c>
    </row>
    <row r="201" spans="1:3" hidden="1" x14ac:dyDescent="0.25">
      <c r="A201" t="s">
        <v>153</v>
      </c>
      <c r="B201">
        <v>5</v>
      </c>
      <c r="C201" t="str">
        <f>IF(AND(SUMPRODUCT(--ISNUMBER(SEARCH(TRIM(Keywords!$A$2:$A$16),A201)))&gt;0,
        SUMPRODUCT(--ISNUMBER(SEARCH(TRIM(Keywords!$B$2:$B$14),A201)))&gt;0),"Neutral",
IF(SUMPRODUCT(--ISNUMBER(SEARCH(TRIM(Keywords!$A$2:$A$16),A201)))&gt;0,"Positive",
IF(SUMPRODUCT(--ISNUMBER(SEARCH(TRIM(Keywords!$A$2:$B$14),A201)))&gt;0,"Negative","Neutral")))</f>
        <v>Positive</v>
      </c>
    </row>
    <row r="202" spans="1:3" hidden="1" x14ac:dyDescent="0.25">
      <c r="A202" t="s">
        <v>2</v>
      </c>
      <c r="B202">
        <v>5</v>
      </c>
      <c r="C202" t="str">
        <f>IF(AND(SUMPRODUCT(--ISNUMBER(SEARCH(TRIM(Keywords!$A$2:$A$16),A202)))&gt;0,
        SUMPRODUCT(--ISNUMBER(SEARCH(TRIM(Keywords!$B$2:$B$14),A202)))&gt;0),"Neutral",
IF(SUMPRODUCT(--ISNUMBER(SEARCH(TRIM(Keywords!$A$2:$A$16),A202)))&gt;0,"Positive",
IF(SUMPRODUCT(--ISNUMBER(SEARCH(TRIM(Keywords!$A$2:$B$14),A202)))&gt;0,"Negative","Neutral")))</f>
        <v>Positive</v>
      </c>
    </row>
    <row r="203" spans="1:3" hidden="1" x14ac:dyDescent="0.25">
      <c r="A203" t="s">
        <v>154</v>
      </c>
      <c r="B203">
        <v>1</v>
      </c>
      <c r="C203" t="str">
        <f>IF(AND(SUMPRODUCT(--ISNUMBER(SEARCH(TRIM(Keywords!$A$2:$A$16),A203)))&gt;0,
        SUMPRODUCT(--ISNUMBER(SEARCH(TRIM(Keywords!$B$2:$B$14),A203)))&gt;0),"Neutral",
IF(SUMPRODUCT(--ISNUMBER(SEARCH(TRIM(Keywords!$A$2:$A$16),A203)))&gt;0,"Positive",
IF(SUMPRODUCT(--ISNUMBER(SEARCH(TRIM(Keywords!$A$2:$B$14),A203)))&gt;0,"Negative","Neutral")))</f>
        <v>Negative</v>
      </c>
    </row>
    <row r="204" spans="1:3" hidden="1" x14ac:dyDescent="0.25">
      <c r="A204" t="s">
        <v>2</v>
      </c>
      <c r="B204">
        <v>5</v>
      </c>
      <c r="C204" t="str">
        <f>IF(AND(SUMPRODUCT(--ISNUMBER(SEARCH(TRIM(Keywords!$A$2:$A$16),A204)))&gt;0,
        SUMPRODUCT(--ISNUMBER(SEARCH(TRIM(Keywords!$B$2:$B$14),A204)))&gt;0),"Neutral",
IF(SUMPRODUCT(--ISNUMBER(SEARCH(TRIM(Keywords!$A$2:$A$16),A204)))&gt;0,"Positive",
IF(SUMPRODUCT(--ISNUMBER(SEARCH(TRIM(Keywords!$A$2:$B$14),A204)))&gt;0,"Negative","Neutral")))</f>
        <v>Positive</v>
      </c>
    </row>
    <row r="205" spans="1:3" hidden="1" x14ac:dyDescent="0.25">
      <c r="A205" t="s">
        <v>155</v>
      </c>
      <c r="B205">
        <v>5</v>
      </c>
      <c r="C205" t="str">
        <f>IF(AND(SUMPRODUCT(--ISNUMBER(SEARCH(TRIM(Keywords!$A$2:$A$16),A205)))&gt;0,
        SUMPRODUCT(--ISNUMBER(SEARCH(TRIM(Keywords!$B$2:$B$14),A205)))&gt;0),"Neutral",
IF(SUMPRODUCT(--ISNUMBER(SEARCH(TRIM(Keywords!$A$2:$A$16),A205)))&gt;0,"Positive",
IF(SUMPRODUCT(--ISNUMBER(SEARCH(TRIM(Keywords!$A$2:$B$14),A205)))&gt;0,"Negative","Neutral")))</f>
        <v>Positive</v>
      </c>
    </row>
    <row r="206" spans="1:3" hidden="1" x14ac:dyDescent="0.25">
      <c r="A206" t="s">
        <v>2</v>
      </c>
      <c r="B206">
        <v>5</v>
      </c>
      <c r="C206" t="str">
        <f>IF(AND(SUMPRODUCT(--ISNUMBER(SEARCH(TRIM(Keywords!$A$2:$A$16),A206)))&gt;0,
        SUMPRODUCT(--ISNUMBER(SEARCH(TRIM(Keywords!$B$2:$B$14),A206)))&gt;0),"Neutral",
IF(SUMPRODUCT(--ISNUMBER(SEARCH(TRIM(Keywords!$A$2:$A$16),A206)))&gt;0,"Positive",
IF(SUMPRODUCT(--ISNUMBER(SEARCH(TRIM(Keywords!$A$2:$B$14),A206)))&gt;0,"Negative","Neutral")))</f>
        <v>Positive</v>
      </c>
    </row>
    <row r="207" spans="1:3" x14ac:dyDescent="0.25">
      <c r="A207" t="s">
        <v>64</v>
      </c>
      <c r="B207">
        <v>3</v>
      </c>
      <c r="C207" t="str">
        <f>IF(AND(SUMPRODUCT(--ISNUMBER(SEARCH(TRIM(Keywords!$A$2:$A$16),A207)))&gt;0,
        SUMPRODUCT(--ISNUMBER(SEARCH(TRIM(Keywords!$B$2:$B$14),A207)))&gt;0),"Neutral",
IF(SUMPRODUCT(--ISNUMBER(SEARCH(TRIM(Keywords!$A$2:$A$16),A207)))&gt;0,"Positive",
IF(SUMPRODUCT(--ISNUMBER(SEARCH(TRIM(Keywords!$A$2:$B$14),A207)))&gt;0,"Negative","Neutral")))</f>
        <v>Neutral</v>
      </c>
    </row>
    <row r="208" spans="1:3" x14ac:dyDescent="0.25">
      <c r="A208" t="s">
        <v>34</v>
      </c>
      <c r="B208">
        <v>2</v>
      </c>
      <c r="C208" t="str">
        <f>IF(AND(SUMPRODUCT(--ISNUMBER(SEARCH(TRIM(Keywords!$A$2:$A$16),A208)))&gt;0,
        SUMPRODUCT(--ISNUMBER(SEARCH(TRIM(Keywords!$B$2:$B$14),A208)))&gt;0),"Neutral",
IF(SUMPRODUCT(--ISNUMBER(SEARCH(TRIM(Keywords!$A$2:$A$16),A208)))&gt;0,"Positive",
IF(SUMPRODUCT(--ISNUMBER(SEARCH(TRIM(Keywords!$A$2:$B$14),A208)))&gt;0,"Negative","Neutral")))</f>
        <v>Neutral</v>
      </c>
    </row>
    <row r="209" spans="1:3" x14ac:dyDescent="0.25">
      <c r="A209" t="s">
        <v>156</v>
      </c>
      <c r="B209">
        <v>2</v>
      </c>
      <c r="C209" t="str">
        <f>IF(AND(SUMPRODUCT(--ISNUMBER(SEARCH(TRIM(Keywords!$A$2:$A$16),A209)))&gt;0,
        SUMPRODUCT(--ISNUMBER(SEARCH(TRIM(Keywords!$B$2:$B$14),A209)))&gt;0),"Neutral",
IF(SUMPRODUCT(--ISNUMBER(SEARCH(TRIM(Keywords!$A$2:$A$16),A209)))&gt;0,"Positive",
IF(SUMPRODUCT(--ISNUMBER(SEARCH(TRIM(Keywords!$A$2:$B$14),A209)))&gt;0,"Negative","Neutral")))</f>
        <v>Neutral</v>
      </c>
    </row>
    <row r="210" spans="1:3" hidden="1" x14ac:dyDescent="0.25">
      <c r="A210" t="s">
        <v>2</v>
      </c>
      <c r="B210">
        <v>5</v>
      </c>
      <c r="C210" t="str">
        <f>IF(AND(SUMPRODUCT(--ISNUMBER(SEARCH(TRIM(Keywords!$A$2:$A$16),A210)))&gt;0,
        SUMPRODUCT(--ISNUMBER(SEARCH(TRIM(Keywords!$B$2:$B$14),A210)))&gt;0),"Neutral",
IF(SUMPRODUCT(--ISNUMBER(SEARCH(TRIM(Keywords!$A$2:$A$16),A210)))&gt;0,"Positive",
IF(SUMPRODUCT(--ISNUMBER(SEARCH(TRIM(Keywords!$A$2:$B$14),A210)))&gt;0,"Negative","Neutral")))</f>
        <v>Positive</v>
      </c>
    </row>
    <row r="211" spans="1:3" hidden="1" x14ac:dyDescent="0.25">
      <c r="A211" t="s">
        <v>157</v>
      </c>
      <c r="B211">
        <v>4</v>
      </c>
      <c r="C211" t="str">
        <f>IF(AND(SUMPRODUCT(--ISNUMBER(SEARCH(TRIM(Keywords!$A$2:$A$16),A211)))&gt;0,
        SUMPRODUCT(--ISNUMBER(SEARCH(TRIM(Keywords!$B$2:$B$14),A211)))&gt;0),"Neutral",
IF(SUMPRODUCT(--ISNUMBER(SEARCH(TRIM(Keywords!$A$2:$A$16),A211)))&gt;0,"Positive",
IF(SUMPRODUCT(--ISNUMBER(SEARCH(TRIM(Keywords!$A$2:$B$14),A211)))&gt;0,"Negative","Neutral")))</f>
        <v>Positive</v>
      </c>
    </row>
    <row r="212" spans="1:3" x14ac:dyDescent="0.25">
      <c r="A212" t="s">
        <v>158</v>
      </c>
      <c r="B212">
        <v>2</v>
      </c>
      <c r="C212" t="str">
        <f>IF(AND(SUMPRODUCT(--ISNUMBER(SEARCH(TRIM(Keywords!$A$2:$A$16),A212)))&gt;0,
        SUMPRODUCT(--ISNUMBER(SEARCH(TRIM(Keywords!$B$2:$B$14),A212)))&gt;0),"Neutral",
IF(SUMPRODUCT(--ISNUMBER(SEARCH(TRIM(Keywords!$A$2:$A$16),A212)))&gt;0,"Positive",
IF(SUMPRODUCT(--ISNUMBER(SEARCH(TRIM(Keywords!$A$2:$B$14),A212)))&gt;0,"Negative","Neutral")))</f>
        <v>Neutral</v>
      </c>
    </row>
    <row r="213" spans="1:3" hidden="1" x14ac:dyDescent="0.25">
      <c r="A213" t="s">
        <v>2</v>
      </c>
      <c r="B213">
        <v>5</v>
      </c>
      <c r="C213" t="str">
        <f>IF(AND(SUMPRODUCT(--ISNUMBER(SEARCH(TRIM(Keywords!$A$2:$A$16),A213)))&gt;0,
        SUMPRODUCT(--ISNUMBER(SEARCH(TRIM(Keywords!$B$2:$B$14),A213)))&gt;0),"Neutral",
IF(SUMPRODUCT(--ISNUMBER(SEARCH(TRIM(Keywords!$A$2:$A$16),A213)))&gt;0,"Positive",
IF(SUMPRODUCT(--ISNUMBER(SEARCH(TRIM(Keywords!$A$2:$B$14),A213)))&gt;0,"Negative","Neutral")))</f>
        <v>Positive</v>
      </c>
    </row>
    <row r="214" spans="1:3" hidden="1" x14ac:dyDescent="0.25">
      <c r="A214" t="s">
        <v>159</v>
      </c>
      <c r="B214">
        <v>5</v>
      </c>
      <c r="C214" t="str">
        <f>IF(AND(SUMPRODUCT(--ISNUMBER(SEARCH(TRIM(Keywords!$A$2:$A$16),A214)))&gt;0,
        SUMPRODUCT(--ISNUMBER(SEARCH(TRIM(Keywords!$B$2:$B$14),A214)))&gt;0),"Neutral",
IF(SUMPRODUCT(--ISNUMBER(SEARCH(TRIM(Keywords!$A$2:$A$16),A214)))&gt;0,"Positive",
IF(SUMPRODUCT(--ISNUMBER(SEARCH(TRIM(Keywords!$A$2:$B$14),A214)))&gt;0,"Negative","Neutral")))</f>
        <v>Negative</v>
      </c>
    </row>
    <row r="215" spans="1:3" x14ac:dyDescent="0.25">
      <c r="A215" t="s">
        <v>160</v>
      </c>
      <c r="B215">
        <v>5</v>
      </c>
      <c r="C215" t="str">
        <f>IF(AND(SUMPRODUCT(--ISNUMBER(SEARCH(TRIM(Keywords!$A$2:$A$16),A215)))&gt;0,
        SUMPRODUCT(--ISNUMBER(SEARCH(TRIM(Keywords!$B$2:$B$14),A215)))&gt;0),"Neutral",
IF(SUMPRODUCT(--ISNUMBER(SEARCH(TRIM(Keywords!$A$2:$A$16),A215)))&gt;0,"Positive",
IF(SUMPRODUCT(--ISNUMBER(SEARCH(TRIM(Keywords!$A$2:$B$14),A215)))&gt;0,"Negative","Neutral")))</f>
        <v>Neutral</v>
      </c>
    </row>
    <row r="216" spans="1:3" x14ac:dyDescent="0.25">
      <c r="A216" t="s">
        <v>161</v>
      </c>
      <c r="B216">
        <v>3</v>
      </c>
      <c r="C216" t="str">
        <f>IF(AND(SUMPRODUCT(--ISNUMBER(SEARCH(TRIM(Keywords!$A$2:$A$16),A216)))&gt;0,
        SUMPRODUCT(--ISNUMBER(SEARCH(TRIM(Keywords!$B$2:$B$14),A216)))&gt;0),"Neutral",
IF(SUMPRODUCT(--ISNUMBER(SEARCH(TRIM(Keywords!$A$2:$A$16),A216)))&gt;0,"Positive",
IF(SUMPRODUCT(--ISNUMBER(SEARCH(TRIM(Keywords!$A$2:$B$14),A216)))&gt;0,"Negative","Neutral")))</f>
        <v>Neutral</v>
      </c>
    </row>
    <row r="217" spans="1:3" x14ac:dyDescent="0.25">
      <c r="A217" t="s">
        <v>162</v>
      </c>
      <c r="B217">
        <v>1</v>
      </c>
      <c r="C217" t="str">
        <f>IF(AND(SUMPRODUCT(--ISNUMBER(SEARCH(TRIM(Keywords!$A$2:$A$16),A217)))&gt;0,
        SUMPRODUCT(--ISNUMBER(SEARCH(TRIM(Keywords!$B$2:$B$14),A217)))&gt;0),"Neutral",
IF(SUMPRODUCT(--ISNUMBER(SEARCH(TRIM(Keywords!$A$2:$A$16),A217)))&gt;0,"Positive",
IF(SUMPRODUCT(--ISNUMBER(SEARCH(TRIM(Keywords!$A$2:$B$14),A217)))&gt;0,"Negative","Neutral")))</f>
        <v>Neutral</v>
      </c>
    </row>
    <row r="218" spans="1:3" hidden="1" x14ac:dyDescent="0.25">
      <c r="A218" t="s">
        <v>2</v>
      </c>
      <c r="B218">
        <v>5</v>
      </c>
      <c r="C218" t="str">
        <f>IF(AND(SUMPRODUCT(--ISNUMBER(SEARCH(TRIM(Keywords!$A$2:$A$16),A218)))&gt;0,
        SUMPRODUCT(--ISNUMBER(SEARCH(TRIM(Keywords!$B$2:$B$14),A218)))&gt;0),"Neutral",
IF(SUMPRODUCT(--ISNUMBER(SEARCH(TRIM(Keywords!$A$2:$A$16),A218)))&gt;0,"Positive",
IF(SUMPRODUCT(--ISNUMBER(SEARCH(TRIM(Keywords!$A$2:$B$14),A218)))&gt;0,"Negative","Neutral")))</f>
        <v>Positive</v>
      </c>
    </row>
    <row r="219" spans="1:3" hidden="1" x14ac:dyDescent="0.25">
      <c r="A219" t="s">
        <v>163</v>
      </c>
      <c r="B219">
        <v>1</v>
      </c>
      <c r="C219" t="str">
        <f>IF(AND(SUMPRODUCT(--ISNUMBER(SEARCH(TRIM(Keywords!$A$2:$A$16),A219)))&gt;0,
        SUMPRODUCT(--ISNUMBER(SEARCH(TRIM(Keywords!$B$2:$B$14),A219)))&gt;0),"Neutral",
IF(SUMPRODUCT(--ISNUMBER(SEARCH(TRIM(Keywords!$A$2:$A$16),A219)))&gt;0,"Positive",
IF(SUMPRODUCT(--ISNUMBER(SEARCH(TRIM(Keywords!$A$2:$B$14),A219)))&gt;0,"Negative","Neutral")))</f>
        <v>Positive</v>
      </c>
    </row>
    <row r="220" spans="1:3" hidden="1" x14ac:dyDescent="0.25">
      <c r="A220" t="s">
        <v>164</v>
      </c>
      <c r="B220">
        <v>5</v>
      </c>
      <c r="C220" t="str">
        <f>IF(AND(SUMPRODUCT(--ISNUMBER(SEARCH(TRIM(Keywords!$A$2:$A$16),A220)))&gt;0,
        SUMPRODUCT(--ISNUMBER(SEARCH(TRIM(Keywords!$B$2:$B$14),A220)))&gt;0),"Neutral",
IF(SUMPRODUCT(--ISNUMBER(SEARCH(TRIM(Keywords!$A$2:$A$16),A220)))&gt;0,"Positive",
IF(SUMPRODUCT(--ISNUMBER(SEARCH(TRIM(Keywords!$A$2:$B$14),A220)))&gt;0,"Negative","Neutral")))</f>
        <v>Positive</v>
      </c>
    </row>
    <row r="221" spans="1:3" hidden="1" x14ac:dyDescent="0.25">
      <c r="A221" t="s">
        <v>2</v>
      </c>
      <c r="B221">
        <v>5</v>
      </c>
      <c r="C221" t="str">
        <f>IF(AND(SUMPRODUCT(--ISNUMBER(SEARCH(TRIM(Keywords!$A$2:$A$16),A221)))&gt;0,
        SUMPRODUCT(--ISNUMBER(SEARCH(TRIM(Keywords!$B$2:$B$14),A221)))&gt;0),"Neutral",
IF(SUMPRODUCT(--ISNUMBER(SEARCH(TRIM(Keywords!$A$2:$A$16),A221)))&gt;0,"Positive",
IF(SUMPRODUCT(--ISNUMBER(SEARCH(TRIM(Keywords!$A$2:$B$14),A221)))&gt;0,"Negative","Neutral")))</f>
        <v>Positive</v>
      </c>
    </row>
    <row r="222" spans="1:3" hidden="1" x14ac:dyDescent="0.25">
      <c r="A222" t="s">
        <v>165</v>
      </c>
      <c r="B222">
        <v>4</v>
      </c>
      <c r="C222" t="str">
        <f>IF(AND(SUMPRODUCT(--ISNUMBER(SEARCH(TRIM(Keywords!$A$2:$A$16),A222)))&gt;0,
        SUMPRODUCT(--ISNUMBER(SEARCH(TRIM(Keywords!$B$2:$B$14),A222)))&gt;0),"Neutral",
IF(SUMPRODUCT(--ISNUMBER(SEARCH(TRIM(Keywords!$A$2:$A$16),A222)))&gt;0,"Positive",
IF(SUMPRODUCT(--ISNUMBER(SEARCH(TRIM(Keywords!$A$2:$B$14),A222)))&gt;0,"Negative","Neutral")))</f>
        <v>Positive</v>
      </c>
    </row>
    <row r="223" spans="1:3" x14ac:dyDescent="0.25">
      <c r="A223" t="s">
        <v>166</v>
      </c>
      <c r="B223">
        <v>3</v>
      </c>
      <c r="C223" t="str">
        <f>IF(AND(SUMPRODUCT(--ISNUMBER(SEARCH(TRIM(Keywords!$A$2:$A$16),A223)))&gt;0,
        SUMPRODUCT(--ISNUMBER(SEARCH(TRIM(Keywords!$B$2:$B$14),A223)))&gt;0),"Neutral",
IF(SUMPRODUCT(--ISNUMBER(SEARCH(TRIM(Keywords!$A$2:$A$16),A223)))&gt;0,"Positive",
IF(SUMPRODUCT(--ISNUMBER(SEARCH(TRIM(Keywords!$A$2:$B$14),A223)))&gt;0,"Negative","Neutral")))</f>
        <v>Neutral</v>
      </c>
    </row>
    <row r="224" spans="1:3" x14ac:dyDescent="0.25">
      <c r="A224" t="s">
        <v>167</v>
      </c>
      <c r="B224">
        <v>3</v>
      </c>
      <c r="C224" t="str">
        <f>IF(AND(SUMPRODUCT(--ISNUMBER(SEARCH(TRIM(Keywords!$A$2:$A$16),A224)))&gt;0,
        SUMPRODUCT(--ISNUMBER(SEARCH(TRIM(Keywords!$B$2:$B$14),A224)))&gt;0),"Neutral",
IF(SUMPRODUCT(--ISNUMBER(SEARCH(TRIM(Keywords!$A$2:$A$16),A224)))&gt;0,"Positive",
IF(SUMPRODUCT(--ISNUMBER(SEARCH(TRIM(Keywords!$A$2:$B$14),A224)))&gt;0,"Negative","Neutral")))</f>
        <v>Neutral</v>
      </c>
    </row>
    <row r="225" spans="1:3" x14ac:dyDescent="0.25">
      <c r="A225" t="s">
        <v>168</v>
      </c>
      <c r="B225">
        <v>3</v>
      </c>
      <c r="C225" t="str">
        <f>IF(AND(SUMPRODUCT(--ISNUMBER(SEARCH(TRIM(Keywords!$A$2:$A$16),A225)))&gt;0,
        SUMPRODUCT(--ISNUMBER(SEARCH(TRIM(Keywords!$B$2:$B$14),A225)))&gt;0),"Neutral",
IF(SUMPRODUCT(--ISNUMBER(SEARCH(TRIM(Keywords!$A$2:$A$16),A225)))&gt;0,"Positive",
IF(SUMPRODUCT(--ISNUMBER(SEARCH(TRIM(Keywords!$A$2:$B$14),A225)))&gt;0,"Negative","Neutral")))</f>
        <v>Neutral</v>
      </c>
    </row>
    <row r="226" spans="1:3" hidden="1" x14ac:dyDescent="0.25">
      <c r="A226" t="s">
        <v>169</v>
      </c>
      <c r="B226">
        <v>1</v>
      </c>
      <c r="C226" t="str">
        <f>IF(AND(SUMPRODUCT(--ISNUMBER(SEARCH(TRIM(Keywords!$A$2:$A$16),A226)))&gt;0,
        SUMPRODUCT(--ISNUMBER(SEARCH(TRIM(Keywords!$B$2:$B$14),A226)))&gt;0),"Neutral",
IF(SUMPRODUCT(--ISNUMBER(SEARCH(TRIM(Keywords!$A$2:$A$16),A226)))&gt;0,"Positive",
IF(SUMPRODUCT(--ISNUMBER(SEARCH(TRIM(Keywords!$A$2:$B$14),A226)))&gt;0,"Negative","Neutral")))</f>
        <v>Negative</v>
      </c>
    </row>
    <row r="227" spans="1:3" x14ac:dyDescent="0.25">
      <c r="A227" t="s">
        <v>64</v>
      </c>
      <c r="B227">
        <v>3</v>
      </c>
      <c r="C227" t="str">
        <f>IF(AND(SUMPRODUCT(--ISNUMBER(SEARCH(TRIM(Keywords!$A$2:$A$16),A227)))&gt;0,
        SUMPRODUCT(--ISNUMBER(SEARCH(TRIM(Keywords!$B$2:$B$14),A227)))&gt;0),"Neutral",
IF(SUMPRODUCT(--ISNUMBER(SEARCH(TRIM(Keywords!$A$2:$A$16),A227)))&gt;0,"Positive",
IF(SUMPRODUCT(--ISNUMBER(SEARCH(TRIM(Keywords!$A$2:$B$14),A227)))&gt;0,"Negative","Neutral")))</f>
        <v>Neutral</v>
      </c>
    </row>
    <row r="228" spans="1:3" hidden="1" x14ac:dyDescent="0.25">
      <c r="A228" t="s">
        <v>2</v>
      </c>
      <c r="B228">
        <v>4</v>
      </c>
      <c r="C228" t="str">
        <f>IF(AND(SUMPRODUCT(--ISNUMBER(SEARCH(TRIM(Keywords!$A$2:$A$16),A228)))&gt;0,
        SUMPRODUCT(--ISNUMBER(SEARCH(TRIM(Keywords!$B$2:$B$14),A228)))&gt;0),"Neutral",
IF(SUMPRODUCT(--ISNUMBER(SEARCH(TRIM(Keywords!$A$2:$A$16),A228)))&gt;0,"Positive",
IF(SUMPRODUCT(--ISNUMBER(SEARCH(TRIM(Keywords!$A$2:$B$14),A228)))&gt;0,"Negative","Neutral")))</f>
        <v>Positive</v>
      </c>
    </row>
    <row r="229" spans="1:3" hidden="1" x14ac:dyDescent="0.25">
      <c r="A229" t="s">
        <v>163</v>
      </c>
      <c r="B229">
        <v>4</v>
      </c>
      <c r="C229" t="str">
        <f>IF(AND(SUMPRODUCT(--ISNUMBER(SEARCH(TRIM(Keywords!$A$2:$A$16),A229)))&gt;0,
        SUMPRODUCT(--ISNUMBER(SEARCH(TRIM(Keywords!$B$2:$B$14),A229)))&gt;0),"Neutral",
IF(SUMPRODUCT(--ISNUMBER(SEARCH(TRIM(Keywords!$A$2:$A$16),A229)))&gt;0,"Positive",
IF(SUMPRODUCT(--ISNUMBER(SEARCH(TRIM(Keywords!$A$2:$B$14),A229)))&gt;0,"Negative","Neutral")))</f>
        <v>Positive</v>
      </c>
    </row>
    <row r="230" spans="1:3" x14ac:dyDescent="0.25">
      <c r="A230" t="s">
        <v>170</v>
      </c>
      <c r="B230">
        <v>1</v>
      </c>
      <c r="C230" t="str">
        <f>IF(AND(SUMPRODUCT(--ISNUMBER(SEARCH(TRIM(Keywords!$A$2:$A$16),A230)))&gt;0,
        SUMPRODUCT(--ISNUMBER(SEARCH(TRIM(Keywords!$B$2:$B$14),A230)))&gt;0),"Neutral",
IF(SUMPRODUCT(--ISNUMBER(SEARCH(TRIM(Keywords!$A$2:$A$16),A230)))&gt;0,"Positive",
IF(SUMPRODUCT(--ISNUMBER(SEARCH(TRIM(Keywords!$A$2:$B$14),A230)))&gt;0,"Negative","Neutral")))</f>
        <v>Neutral</v>
      </c>
    </row>
    <row r="231" spans="1:3" hidden="1" x14ac:dyDescent="0.25">
      <c r="A231" t="s">
        <v>37</v>
      </c>
      <c r="B231">
        <v>5</v>
      </c>
      <c r="C231" t="str">
        <f>IF(AND(SUMPRODUCT(--ISNUMBER(SEARCH(TRIM(Keywords!$A$2:$A$16),A231)))&gt;0,
        SUMPRODUCT(--ISNUMBER(SEARCH(TRIM(Keywords!$B$2:$B$14),A231)))&gt;0),"Neutral",
IF(SUMPRODUCT(--ISNUMBER(SEARCH(TRIM(Keywords!$A$2:$A$16),A231)))&gt;0,"Positive",
IF(SUMPRODUCT(--ISNUMBER(SEARCH(TRIM(Keywords!$A$2:$B$14),A231)))&gt;0,"Negative","Neutral")))</f>
        <v>Positive</v>
      </c>
    </row>
    <row r="232" spans="1:3" hidden="1" x14ac:dyDescent="0.25">
      <c r="A232" t="s">
        <v>37</v>
      </c>
      <c r="B232">
        <v>5</v>
      </c>
      <c r="C232" t="str">
        <f>IF(AND(SUMPRODUCT(--ISNUMBER(SEARCH(TRIM(Keywords!$A$2:$A$16),A232)))&gt;0,
        SUMPRODUCT(--ISNUMBER(SEARCH(TRIM(Keywords!$B$2:$B$14),A232)))&gt;0),"Neutral",
IF(SUMPRODUCT(--ISNUMBER(SEARCH(TRIM(Keywords!$A$2:$A$16),A232)))&gt;0,"Positive",
IF(SUMPRODUCT(--ISNUMBER(SEARCH(TRIM(Keywords!$A$2:$B$14),A232)))&gt;0,"Negative","Neutral")))</f>
        <v>Positive</v>
      </c>
    </row>
    <row r="233" spans="1:3" x14ac:dyDescent="0.25">
      <c r="A233" t="s">
        <v>36</v>
      </c>
      <c r="B233">
        <v>3</v>
      </c>
      <c r="C233" t="str">
        <f>IF(AND(SUMPRODUCT(--ISNUMBER(SEARCH(TRIM(Keywords!$A$2:$A$16),A233)))&gt;0,
        SUMPRODUCT(--ISNUMBER(SEARCH(TRIM(Keywords!$B$2:$B$14),A233)))&gt;0),"Neutral",
IF(SUMPRODUCT(--ISNUMBER(SEARCH(TRIM(Keywords!$A$2:$A$16),A233)))&gt;0,"Positive",
IF(SUMPRODUCT(--ISNUMBER(SEARCH(TRIM(Keywords!$A$2:$B$14),A233)))&gt;0,"Negative","Neutral")))</f>
        <v>Neutral</v>
      </c>
    </row>
    <row r="234" spans="1:3" x14ac:dyDescent="0.25">
      <c r="A234" t="s">
        <v>171</v>
      </c>
      <c r="B234">
        <v>3</v>
      </c>
      <c r="C234" t="str">
        <f>IF(AND(SUMPRODUCT(--ISNUMBER(SEARCH(TRIM(Keywords!$A$2:$A$16),A234)))&gt;0,
        SUMPRODUCT(--ISNUMBER(SEARCH(TRIM(Keywords!$B$2:$B$14),A234)))&gt;0),"Neutral",
IF(SUMPRODUCT(--ISNUMBER(SEARCH(TRIM(Keywords!$A$2:$A$16),A234)))&gt;0,"Positive",
IF(SUMPRODUCT(--ISNUMBER(SEARCH(TRIM(Keywords!$A$2:$B$14),A234)))&gt;0,"Negative","Neutral")))</f>
        <v>Neutral</v>
      </c>
    </row>
    <row r="235" spans="1:3" x14ac:dyDescent="0.25">
      <c r="A235" t="s">
        <v>172</v>
      </c>
      <c r="B235">
        <v>3</v>
      </c>
      <c r="C235" t="str">
        <f>IF(AND(SUMPRODUCT(--ISNUMBER(SEARCH(TRIM(Keywords!$A$2:$A$16),A235)))&gt;0,
        SUMPRODUCT(--ISNUMBER(SEARCH(TRIM(Keywords!$B$2:$B$14),A235)))&gt;0),"Neutral",
IF(SUMPRODUCT(--ISNUMBER(SEARCH(TRIM(Keywords!$A$2:$A$16),A235)))&gt;0,"Positive",
IF(SUMPRODUCT(--ISNUMBER(SEARCH(TRIM(Keywords!$A$2:$B$14),A235)))&gt;0,"Negative","Neutral")))</f>
        <v>Neutral</v>
      </c>
    </row>
    <row r="236" spans="1:3" x14ac:dyDescent="0.25">
      <c r="A236" t="s">
        <v>173</v>
      </c>
      <c r="B236">
        <v>1</v>
      </c>
      <c r="C236" t="str">
        <f>IF(AND(SUMPRODUCT(--ISNUMBER(SEARCH(TRIM(Keywords!$A$2:$A$16),A236)))&gt;0,
        SUMPRODUCT(--ISNUMBER(SEARCH(TRIM(Keywords!$B$2:$B$14),A236)))&gt;0),"Neutral",
IF(SUMPRODUCT(--ISNUMBER(SEARCH(TRIM(Keywords!$A$2:$A$16),A236)))&gt;0,"Positive",
IF(SUMPRODUCT(--ISNUMBER(SEARCH(TRIM(Keywords!$A$2:$B$14),A236)))&gt;0,"Negative","Neutral")))</f>
        <v>Neutral</v>
      </c>
    </row>
    <row r="237" spans="1:3" hidden="1" x14ac:dyDescent="0.25">
      <c r="A237" t="s">
        <v>174</v>
      </c>
      <c r="B237">
        <v>1</v>
      </c>
      <c r="C237" t="str">
        <f>IF(AND(SUMPRODUCT(--ISNUMBER(SEARCH(TRIM(Keywords!$A$2:$A$16),A237)))&gt;0,
        SUMPRODUCT(--ISNUMBER(SEARCH(TRIM(Keywords!$B$2:$B$14),A237)))&gt;0),"Neutral",
IF(SUMPRODUCT(--ISNUMBER(SEARCH(TRIM(Keywords!$A$2:$A$16),A237)))&gt;0,"Positive",
IF(SUMPRODUCT(--ISNUMBER(SEARCH(TRIM(Keywords!$A$2:$B$14),A237)))&gt;0,"Negative","Neutral")))</f>
        <v>Negative</v>
      </c>
    </row>
    <row r="238" spans="1:3" hidden="1" x14ac:dyDescent="0.25">
      <c r="A238" t="s">
        <v>175</v>
      </c>
      <c r="B238">
        <v>1</v>
      </c>
      <c r="C238" t="str">
        <f>IF(AND(SUMPRODUCT(--ISNUMBER(SEARCH(TRIM(Keywords!$A$2:$A$16),A238)))&gt;0,
        SUMPRODUCT(--ISNUMBER(SEARCH(TRIM(Keywords!$B$2:$B$14),A238)))&gt;0),"Neutral",
IF(SUMPRODUCT(--ISNUMBER(SEARCH(TRIM(Keywords!$A$2:$A$16),A238)))&gt;0,"Positive",
IF(SUMPRODUCT(--ISNUMBER(SEARCH(TRIM(Keywords!$A$2:$B$14),A238)))&gt;0,"Negative","Neutral")))</f>
        <v>Negative</v>
      </c>
    </row>
    <row r="239" spans="1:3" hidden="1" x14ac:dyDescent="0.25">
      <c r="A239" t="s">
        <v>176</v>
      </c>
      <c r="B239">
        <v>1</v>
      </c>
      <c r="C239" t="str">
        <f>IF(AND(SUMPRODUCT(--ISNUMBER(SEARCH(TRIM(Keywords!$A$2:$A$16),A239)))&gt;0,
        SUMPRODUCT(--ISNUMBER(SEARCH(TRIM(Keywords!$B$2:$B$14),A239)))&gt;0),"Neutral",
IF(SUMPRODUCT(--ISNUMBER(SEARCH(TRIM(Keywords!$A$2:$A$16),A239)))&gt;0,"Positive",
IF(SUMPRODUCT(--ISNUMBER(SEARCH(TRIM(Keywords!$A$2:$B$14),A239)))&gt;0,"Negative","Neutral")))</f>
        <v>Negative</v>
      </c>
    </row>
    <row r="240" spans="1:3" hidden="1" x14ac:dyDescent="0.25">
      <c r="A240" t="s">
        <v>177</v>
      </c>
      <c r="B240">
        <v>1</v>
      </c>
      <c r="C240" t="str">
        <f>IF(AND(SUMPRODUCT(--ISNUMBER(SEARCH(TRIM(Keywords!$A$2:$A$16),A240)))&gt;0,
        SUMPRODUCT(--ISNUMBER(SEARCH(TRIM(Keywords!$B$2:$B$14),A240)))&gt;0),"Neutral",
IF(SUMPRODUCT(--ISNUMBER(SEARCH(TRIM(Keywords!$A$2:$A$16),A240)))&gt;0,"Positive",
IF(SUMPRODUCT(--ISNUMBER(SEARCH(TRIM(Keywords!$A$2:$B$14),A240)))&gt;0,"Negative","Neutral")))</f>
        <v>Negative</v>
      </c>
    </row>
    <row r="241" spans="1:3" hidden="1" x14ac:dyDescent="0.25">
      <c r="A241" t="s">
        <v>2</v>
      </c>
      <c r="B241">
        <v>5</v>
      </c>
      <c r="C241" t="str">
        <f>IF(AND(SUMPRODUCT(--ISNUMBER(SEARCH(TRIM(Keywords!$A$2:$A$16),A241)))&gt;0,
        SUMPRODUCT(--ISNUMBER(SEARCH(TRIM(Keywords!$B$2:$B$14),A241)))&gt;0),"Neutral",
IF(SUMPRODUCT(--ISNUMBER(SEARCH(TRIM(Keywords!$A$2:$A$16),A241)))&gt;0,"Positive",
IF(SUMPRODUCT(--ISNUMBER(SEARCH(TRIM(Keywords!$A$2:$B$14),A241)))&gt;0,"Negative","Neutral")))</f>
        <v>Positive</v>
      </c>
    </row>
    <row r="242" spans="1:3" hidden="1" x14ac:dyDescent="0.25">
      <c r="A242" t="s">
        <v>178</v>
      </c>
      <c r="B242">
        <v>4</v>
      </c>
      <c r="C242" t="str">
        <f>IF(AND(SUMPRODUCT(--ISNUMBER(SEARCH(TRIM(Keywords!$A$2:$A$16),A242)))&gt;0,
        SUMPRODUCT(--ISNUMBER(SEARCH(TRIM(Keywords!$B$2:$B$14),A242)))&gt;0),"Neutral",
IF(SUMPRODUCT(--ISNUMBER(SEARCH(TRIM(Keywords!$A$2:$A$16),A242)))&gt;0,"Positive",
IF(SUMPRODUCT(--ISNUMBER(SEARCH(TRIM(Keywords!$A$2:$B$14),A242)))&gt;0,"Negative","Neutral")))</f>
        <v>Positive</v>
      </c>
    </row>
    <row r="243" spans="1:3" x14ac:dyDescent="0.25">
      <c r="A243" t="s">
        <v>179</v>
      </c>
      <c r="B243">
        <v>3</v>
      </c>
      <c r="C243" t="str">
        <f>IF(AND(SUMPRODUCT(--ISNUMBER(SEARCH(TRIM(Keywords!$A$2:$A$16),A243)))&gt;0,
        SUMPRODUCT(--ISNUMBER(SEARCH(TRIM(Keywords!$B$2:$B$14),A243)))&gt;0),"Neutral",
IF(SUMPRODUCT(--ISNUMBER(SEARCH(TRIM(Keywords!$A$2:$A$16),A243)))&gt;0,"Positive",
IF(SUMPRODUCT(--ISNUMBER(SEARCH(TRIM(Keywords!$A$2:$B$14),A243)))&gt;0,"Negative","Neutral")))</f>
        <v>Neutral</v>
      </c>
    </row>
    <row r="244" spans="1:3" hidden="1" x14ac:dyDescent="0.25">
      <c r="A244" t="s">
        <v>12</v>
      </c>
      <c r="B244">
        <v>5</v>
      </c>
      <c r="C244" t="str">
        <f>IF(AND(SUMPRODUCT(--ISNUMBER(SEARCH(TRIM(Keywords!$A$2:$A$16),A244)))&gt;0,
        SUMPRODUCT(--ISNUMBER(SEARCH(TRIM(Keywords!$B$2:$B$14),A244)))&gt;0),"Neutral",
IF(SUMPRODUCT(--ISNUMBER(SEARCH(TRIM(Keywords!$A$2:$A$16),A244)))&gt;0,"Positive",
IF(SUMPRODUCT(--ISNUMBER(SEARCH(TRIM(Keywords!$A$2:$B$14),A244)))&gt;0,"Negative","Neutral")))</f>
        <v>Positive</v>
      </c>
    </row>
    <row r="245" spans="1:3" hidden="1" x14ac:dyDescent="0.25">
      <c r="A245" t="s">
        <v>2</v>
      </c>
      <c r="B245">
        <v>4</v>
      </c>
      <c r="C245" t="str">
        <f>IF(AND(SUMPRODUCT(--ISNUMBER(SEARCH(TRIM(Keywords!$A$2:$A$16),A245)))&gt;0,
        SUMPRODUCT(--ISNUMBER(SEARCH(TRIM(Keywords!$B$2:$B$14),A245)))&gt;0),"Neutral",
IF(SUMPRODUCT(--ISNUMBER(SEARCH(TRIM(Keywords!$A$2:$A$16),A245)))&gt;0,"Positive",
IF(SUMPRODUCT(--ISNUMBER(SEARCH(TRIM(Keywords!$A$2:$B$14),A245)))&gt;0,"Negative","Neutral")))</f>
        <v>Positive</v>
      </c>
    </row>
    <row r="246" spans="1:3" hidden="1" x14ac:dyDescent="0.25">
      <c r="A246" t="s">
        <v>26</v>
      </c>
      <c r="B246">
        <v>3</v>
      </c>
      <c r="C246" t="str">
        <f>IF(AND(SUMPRODUCT(--ISNUMBER(SEARCH(TRIM(Keywords!$A$2:$A$16),A246)))&gt;0,
        SUMPRODUCT(--ISNUMBER(SEARCH(TRIM(Keywords!$B$2:$B$14),A246)))&gt;0),"Neutral",
IF(SUMPRODUCT(--ISNUMBER(SEARCH(TRIM(Keywords!$A$2:$A$16),A246)))&gt;0,"Positive",
IF(SUMPRODUCT(--ISNUMBER(SEARCH(TRIM(Keywords!$A$2:$B$14),A246)))&gt;0,"Negative","Neutral")))</f>
        <v>Positive</v>
      </c>
    </row>
    <row r="247" spans="1:3" hidden="1" x14ac:dyDescent="0.25">
      <c r="A247" t="s">
        <v>180</v>
      </c>
      <c r="B247">
        <v>5</v>
      </c>
      <c r="C247" t="str">
        <f>IF(AND(SUMPRODUCT(--ISNUMBER(SEARCH(TRIM(Keywords!$A$2:$A$16),A247)))&gt;0,
        SUMPRODUCT(--ISNUMBER(SEARCH(TRIM(Keywords!$B$2:$B$14),A247)))&gt;0),"Neutral",
IF(SUMPRODUCT(--ISNUMBER(SEARCH(TRIM(Keywords!$A$2:$A$16),A247)))&gt;0,"Positive",
IF(SUMPRODUCT(--ISNUMBER(SEARCH(TRIM(Keywords!$A$2:$B$14),A247)))&gt;0,"Negative","Neutral")))</f>
        <v>Positive</v>
      </c>
    </row>
    <row r="248" spans="1:3" x14ac:dyDescent="0.25">
      <c r="A248" t="s">
        <v>181</v>
      </c>
      <c r="B248">
        <v>1</v>
      </c>
      <c r="C248" t="str">
        <f>IF(AND(SUMPRODUCT(--ISNUMBER(SEARCH(TRIM(Keywords!$A$2:$A$16),A248)))&gt;0,
        SUMPRODUCT(--ISNUMBER(SEARCH(TRIM(Keywords!$B$2:$B$14),A248)))&gt;0),"Neutral",
IF(SUMPRODUCT(--ISNUMBER(SEARCH(TRIM(Keywords!$A$2:$A$16),A248)))&gt;0,"Positive",
IF(SUMPRODUCT(--ISNUMBER(SEARCH(TRIM(Keywords!$A$2:$B$14),A248)))&gt;0,"Negative","Neutral")))</f>
        <v>Neutral</v>
      </c>
    </row>
    <row r="249" spans="1:3" hidden="1" x14ac:dyDescent="0.25">
      <c r="A249" t="s">
        <v>182</v>
      </c>
      <c r="B249">
        <v>4</v>
      </c>
      <c r="C249" t="str">
        <f>IF(AND(SUMPRODUCT(--ISNUMBER(SEARCH(TRIM(Keywords!$A$2:$A$16),A249)))&gt;0,
        SUMPRODUCT(--ISNUMBER(SEARCH(TRIM(Keywords!$B$2:$B$14),A249)))&gt;0),"Neutral",
IF(SUMPRODUCT(--ISNUMBER(SEARCH(TRIM(Keywords!$A$2:$A$16),A249)))&gt;0,"Positive",
IF(SUMPRODUCT(--ISNUMBER(SEARCH(TRIM(Keywords!$A$2:$B$14),A249)))&gt;0,"Negative","Neutral")))</f>
        <v>Positive</v>
      </c>
    </row>
    <row r="250" spans="1:3" x14ac:dyDescent="0.25">
      <c r="A250" t="s">
        <v>36</v>
      </c>
      <c r="B250">
        <v>3</v>
      </c>
      <c r="C250" t="str">
        <f>IF(AND(SUMPRODUCT(--ISNUMBER(SEARCH(TRIM(Keywords!$A$2:$A$16),A250)))&gt;0,
        SUMPRODUCT(--ISNUMBER(SEARCH(TRIM(Keywords!$B$2:$B$14),A250)))&gt;0),"Neutral",
IF(SUMPRODUCT(--ISNUMBER(SEARCH(TRIM(Keywords!$A$2:$A$16),A250)))&gt;0,"Positive",
IF(SUMPRODUCT(--ISNUMBER(SEARCH(TRIM(Keywords!$A$2:$B$14),A250)))&gt;0,"Negative","Neutral")))</f>
        <v>Neutral</v>
      </c>
    </row>
    <row r="251" spans="1:3" hidden="1" x14ac:dyDescent="0.25">
      <c r="A251" t="s">
        <v>2</v>
      </c>
      <c r="B251">
        <v>5</v>
      </c>
      <c r="C251" t="str">
        <f>IF(AND(SUMPRODUCT(--ISNUMBER(SEARCH(TRIM(Keywords!$A$2:$A$16),A251)))&gt;0,
        SUMPRODUCT(--ISNUMBER(SEARCH(TRIM(Keywords!$B$2:$B$14),A251)))&gt;0),"Neutral",
IF(SUMPRODUCT(--ISNUMBER(SEARCH(TRIM(Keywords!$A$2:$A$16),A251)))&gt;0,"Positive",
IF(SUMPRODUCT(--ISNUMBER(SEARCH(TRIM(Keywords!$A$2:$B$14),A251)))&gt;0,"Negative","Neutral")))</f>
        <v>Positive</v>
      </c>
    </row>
    <row r="252" spans="1:3" hidden="1" x14ac:dyDescent="0.25">
      <c r="A252" t="s">
        <v>3</v>
      </c>
      <c r="B252">
        <v>1</v>
      </c>
      <c r="C252" t="str">
        <f>IF(AND(SUMPRODUCT(--ISNUMBER(SEARCH(TRIM(Keywords!$A$2:$A$16),A252)))&gt;0,
        SUMPRODUCT(--ISNUMBER(SEARCH(TRIM(Keywords!$B$2:$B$14),A252)))&gt;0),"Neutral",
IF(SUMPRODUCT(--ISNUMBER(SEARCH(TRIM(Keywords!$A$2:$A$16),A252)))&gt;0,"Positive",
IF(SUMPRODUCT(--ISNUMBER(SEARCH(TRIM(Keywords!$A$2:$B$14),A252)))&gt;0,"Negative","Neutral")))</f>
        <v>Negative</v>
      </c>
    </row>
    <row r="253" spans="1:3" hidden="1" x14ac:dyDescent="0.25">
      <c r="A253" t="s">
        <v>183</v>
      </c>
      <c r="B253">
        <v>1</v>
      </c>
      <c r="C253" t="str">
        <f>IF(AND(SUMPRODUCT(--ISNUMBER(SEARCH(TRIM(Keywords!$A$2:$A$16),A253)))&gt;0,
        SUMPRODUCT(--ISNUMBER(SEARCH(TRIM(Keywords!$B$2:$B$14),A253)))&gt;0),"Neutral",
IF(SUMPRODUCT(--ISNUMBER(SEARCH(TRIM(Keywords!$A$2:$A$16),A253)))&gt;0,"Positive",
IF(SUMPRODUCT(--ISNUMBER(SEARCH(TRIM(Keywords!$A$2:$B$14),A253)))&gt;0,"Negative","Neutral")))</f>
        <v>Negative</v>
      </c>
    </row>
    <row r="254" spans="1:3" hidden="1" x14ac:dyDescent="0.25">
      <c r="A254" t="s">
        <v>2</v>
      </c>
      <c r="B254">
        <v>4</v>
      </c>
      <c r="C254" t="str">
        <f>IF(AND(SUMPRODUCT(--ISNUMBER(SEARCH(TRIM(Keywords!$A$2:$A$16),A254)))&gt;0,
        SUMPRODUCT(--ISNUMBER(SEARCH(TRIM(Keywords!$B$2:$B$14),A254)))&gt;0),"Neutral",
IF(SUMPRODUCT(--ISNUMBER(SEARCH(TRIM(Keywords!$A$2:$A$16),A254)))&gt;0,"Positive",
IF(SUMPRODUCT(--ISNUMBER(SEARCH(TRIM(Keywords!$A$2:$B$14),A254)))&gt;0,"Negative","Neutral")))</f>
        <v>Positive</v>
      </c>
    </row>
    <row r="255" spans="1:3" x14ac:dyDescent="0.25">
      <c r="A255" t="s">
        <v>184</v>
      </c>
      <c r="B255">
        <v>3</v>
      </c>
      <c r="C255" t="str">
        <f>IF(AND(SUMPRODUCT(--ISNUMBER(SEARCH(TRIM(Keywords!$A$2:$A$16),A255)))&gt;0,
        SUMPRODUCT(--ISNUMBER(SEARCH(TRIM(Keywords!$B$2:$B$14),A255)))&gt;0),"Neutral",
IF(SUMPRODUCT(--ISNUMBER(SEARCH(TRIM(Keywords!$A$2:$A$16),A255)))&gt;0,"Positive",
IF(SUMPRODUCT(--ISNUMBER(SEARCH(TRIM(Keywords!$A$2:$B$14),A255)))&gt;0,"Negative","Neutral")))</f>
        <v>Neutral</v>
      </c>
    </row>
    <row r="256" spans="1:3" x14ac:dyDescent="0.25">
      <c r="A256" t="s">
        <v>185</v>
      </c>
      <c r="B256">
        <v>3</v>
      </c>
      <c r="C256" t="str">
        <f>IF(AND(SUMPRODUCT(--ISNUMBER(SEARCH(TRIM(Keywords!$A$2:$A$16),A256)))&gt;0,
        SUMPRODUCT(--ISNUMBER(SEARCH(TRIM(Keywords!$B$2:$B$14),A256)))&gt;0),"Neutral",
IF(SUMPRODUCT(--ISNUMBER(SEARCH(TRIM(Keywords!$A$2:$A$16),A256)))&gt;0,"Positive",
IF(SUMPRODUCT(--ISNUMBER(SEARCH(TRIM(Keywords!$A$2:$B$14),A256)))&gt;0,"Negative","Neutral")))</f>
        <v>Neutral</v>
      </c>
    </row>
    <row r="257" spans="1:3" hidden="1" x14ac:dyDescent="0.25">
      <c r="A257" t="s">
        <v>37</v>
      </c>
      <c r="B257">
        <v>5</v>
      </c>
      <c r="C257" t="str">
        <f>IF(AND(SUMPRODUCT(--ISNUMBER(SEARCH(TRIM(Keywords!$A$2:$A$16),A257)))&gt;0,
        SUMPRODUCT(--ISNUMBER(SEARCH(TRIM(Keywords!$B$2:$B$14),A257)))&gt;0),"Neutral",
IF(SUMPRODUCT(--ISNUMBER(SEARCH(TRIM(Keywords!$A$2:$A$16),A257)))&gt;0,"Positive",
IF(SUMPRODUCT(--ISNUMBER(SEARCH(TRIM(Keywords!$A$2:$B$14),A257)))&gt;0,"Negative","Neutral")))</f>
        <v>Positive</v>
      </c>
    </row>
    <row r="258" spans="1:3" x14ac:dyDescent="0.25">
      <c r="A258" t="s">
        <v>186</v>
      </c>
      <c r="B258">
        <v>3</v>
      </c>
      <c r="C258" t="str">
        <f>IF(AND(SUMPRODUCT(--ISNUMBER(SEARCH(TRIM(Keywords!$A$2:$A$16),A258)))&gt;0,
        SUMPRODUCT(--ISNUMBER(SEARCH(TRIM(Keywords!$B$2:$B$14),A258)))&gt;0),"Neutral",
IF(SUMPRODUCT(--ISNUMBER(SEARCH(TRIM(Keywords!$A$2:$A$16),A258)))&gt;0,"Positive",
IF(SUMPRODUCT(--ISNUMBER(SEARCH(TRIM(Keywords!$A$2:$B$14),A258)))&gt;0,"Negative","Neutral")))</f>
        <v>Neutral</v>
      </c>
    </row>
    <row r="259" spans="1:3" hidden="1" x14ac:dyDescent="0.25">
      <c r="A259" t="s">
        <v>37</v>
      </c>
      <c r="B259">
        <v>5</v>
      </c>
      <c r="C259" t="str">
        <f>IF(AND(SUMPRODUCT(--ISNUMBER(SEARCH(TRIM(Keywords!$A$2:$A$16),A259)))&gt;0,
        SUMPRODUCT(--ISNUMBER(SEARCH(TRIM(Keywords!$B$2:$B$14),A259)))&gt;0),"Neutral",
IF(SUMPRODUCT(--ISNUMBER(SEARCH(TRIM(Keywords!$A$2:$A$16),A259)))&gt;0,"Positive",
IF(SUMPRODUCT(--ISNUMBER(SEARCH(TRIM(Keywords!$A$2:$B$14),A259)))&gt;0,"Negative","Neutral")))</f>
        <v>Positive</v>
      </c>
    </row>
    <row r="260" spans="1:3" x14ac:dyDescent="0.25">
      <c r="A260" t="s">
        <v>187</v>
      </c>
      <c r="B260">
        <v>3</v>
      </c>
      <c r="C260" t="str">
        <f>IF(AND(SUMPRODUCT(--ISNUMBER(SEARCH(TRIM(Keywords!$A$2:$A$16),A260)))&gt;0,
        SUMPRODUCT(--ISNUMBER(SEARCH(TRIM(Keywords!$B$2:$B$14),A260)))&gt;0),"Neutral",
IF(SUMPRODUCT(--ISNUMBER(SEARCH(TRIM(Keywords!$A$2:$A$16),A260)))&gt;0,"Positive",
IF(SUMPRODUCT(--ISNUMBER(SEARCH(TRIM(Keywords!$A$2:$B$14),A260)))&gt;0,"Negative","Neutral")))</f>
        <v>Neutral</v>
      </c>
    </row>
    <row r="261" spans="1:3" x14ac:dyDescent="0.25">
      <c r="A261" t="s">
        <v>188</v>
      </c>
      <c r="B261">
        <v>3</v>
      </c>
      <c r="C261" t="str">
        <f>IF(AND(SUMPRODUCT(--ISNUMBER(SEARCH(TRIM(Keywords!$A$2:$A$16),A261)))&gt;0,
        SUMPRODUCT(--ISNUMBER(SEARCH(TRIM(Keywords!$B$2:$B$14),A261)))&gt;0),"Neutral",
IF(SUMPRODUCT(--ISNUMBER(SEARCH(TRIM(Keywords!$A$2:$A$16),A261)))&gt;0,"Positive",
IF(SUMPRODUCT(--ISNUMBER(SEARCH(TRIM(Keywords!$A$2:$B$14),A261)))&gt;0,"Negative","Neutral")))</f>
        <v>Neutral</v>
      </c>
    </row>
    <row r="262" spans="1:3" x14ac:dyDescent="0.25">
      <c r="A262" t="s">
        <v>189</v>
      </c>
      <c r="B262">
        <v>3</v>
      </c>
      <c r="C262" t="str">
        <f>IF(AND(SUMPRODUCT(--ISNUMBER(SEARCH(TRIM(Keywords!$A$2:$A$16),A262)))&gt;0,
        SUMPRODUCT(--ISNUMBER(SEARCH(TRIM(Keywords!$B$2:$B$14),A262)))&gt;0),"Neutral",
IF(SUMPRODUCT(--ISNUMBER(SEARCH(TRIM(Keywords!$A$2:$A$16),A262)))&gt;0,"Positive",
IF(SUMPRODUCT(--ISNUMBER(SEARCH(TRIM(Keywords!$A$2:$B$14),A262)))&gt;0,"Negative","Neutral")))</f>
        <v>Neutral</v>
      </c>
    </row>
    <row r="263" spans="1:3" hidden="1" x14ac:dyDescent="0.25">
      <c r="A263" t="s">
        <v>190</v>
      </c>
      <c r="B263">
        <v>2</v>
      </c>
      <c r="C263" t="str">
        <f>IF(AND(SUMPRODUCT(--ISNUMBER(SEARCH(TRIM(Keywords!$A$2:$A$16),A263)))&gt;0,
        SUMPRODUCT(--ISNUMBER(SEARCH(TRIM(Keywords!$B$2:$B$14),A263)))&gt;0),"Neutral",
IF(SUMPRODUCT(--ISNUMBER(SEARCH(TRIM(Keywords!$A$2:$A$16),A263)))&gt;0,"Positive",
IF(SUMPRODUCT(--ISNUMBER(SEARCH(TRIM(Keywords!$A$2:$B$14),A263)))&gt;0,"Negative","Neutral")))</f>
        <v>Positive</v>
      </c>
    </row>
    <row r="264" spans="1:3" x14ac:dyDescent="0.25">
      <c r="A264" t="s">
        <v>64</v>
      </c>
      <c r="B264">
        <v>3</v>
      </c>
      <c r="C264" t="str">
        <f>IF(AND(SUMPRODUCT(--ISNUMBER(SEARCH(TRIM(Keywords!$A$2:$A$16),A264)))&gt;0,
        SUMPRODUCT(--ISNUMBER(SEARCH(TRIM(Keywords!$B$2:$B$14),A264)))&gt;0),"Neutral",
IF(SUMPRODUCT(--ISNUMBER(SEARCH(TRIM(Keywords!$A$2:$A$16),A264)))&gt;0,"Positive",
IF(SUMPRODUCT(--ISNUMBER(SEARCH(TRIM(Keywords!$A$2:$B$14),A264)))&gt;0,"Negative","Neutral")))</f>
        <v>Neutral</v>
      </c>
    </row>
    <row r="265" spans="1:3" x14ac:dyDescent="0.25">
      <c r="A265" t="s">
        <v>34</v>
      </c>
      <c r="B265">
        <v>3</v>
      </c>
      <c r="C265" t="str">
        <f>IF(AND(SUMPRODUCT(--ISNUMBER(SEARCH(TRIM(Keywords!$A$2:$A$16),A265)))&gt;0,
        SUMPRODUCT(--ISNUMBER(SEARCH(TRIM(Keywords!$B$2:$B$14),A265)))&gt;0),"Neutral",
IF(SUMPRODUCT(--ISNUMBER(SEARCH(TRIM(Keywords!$A$2:$A$16),A265)))&gt;0,"Positive",
IF(SUMPRODUCT(--ISNUMBER(SEARCH(TRIM(Keywords!$A$2:$B$14),A265)))&gt;0,"Negative","Neutral")))</f>
        <v>Neutral</v>
      </c>
    </row>
    <row r="266" spans="1:3" hidden="1" x14ac:dyDescent="0.25">
      <c r="A266" t="s">
        <v>191</v>
      </c>
      <c r="B266">
        <v>4</v>
      </c>
      <c r="C266" t="str">
        <f>IF(AND(SUMPRODUCT(--ISNUMBER(SEARCH(TRIM(Keywords!$A$2:$A$16),A266)))&gt;0,
        SUMPRODUCT(--ISNUMBER(SEARCH(TRIM(Keywords!$B$2:$B$14),A266)))&gt;0),"Neutral",
IF(SUMPRODUCT(--ISNUMBER(SEARCH(TRIM(Keywords!$A$2:$A$16),A266)))&gt;0,"Positive",
IF(SUMPRODUCT(--ISNUMBER(SEARCH(TRIM(Keywords!$A$2:$B$14),A266)))&gt;0,"Negative","Neutral")))</f>
        <v>Positive</v>
      </c>
    </row>
    <row r="267" spans="1:3" x14ac:dyDescent="0.25">
      <c r="A267" t="s">
        <v>36</v>
      </c>
      <c r="B267">
        <v>3</v>
      </c>
      <c r="C267" t="str">
        <f>IF(AND(SUMPRODUCT(--ISNUMBER(SEARCH(TRIM(Keywords!$A$2:$A$16),A267)))&gt;0,
        SUMPRODUCT(--ISNUMBER(SEARCH(TRIM(Keywords!$B$2:$B$14),A267)))&gt;0),"Neutral",
IF(SUMPRODUCT(--ISNUMBER(SEARCH(TRIM(Keywords!$A$2:$A$16),A267)))&gt;0,"Positive",
IF(SUMPRODUCT(--ISNUMBER(SEARCH(TRIM(Keywords!$A$2:$B$14),A267)))&gt;0,"Negative","Neutral")))</f>
        <v>Neutral</v>
      </c>
    </row>
    <row r="268" spans="1:3" hidden="1" x14ac:dyDescent="0.25">
      <c r="A268" t="s">
        <v>2</v>
      </c>
      <c r="B268">
        <v>5</v>
      </c>
      <c r="C268" t="str">
        <f>IF(AND(SUMPRODUCT(--ISNUMBER(SEARCH(TRIM(Keywords!$A$2:$A$16),A268)))&gt;0,
        SUMPRODUCT(--ISNUMBER(SEARCH(TRIM(Keywords!$B$2:$B$14),A268)))&gt;0),"Neutral",
IF(SUMPRODUCT(--ISNUMBER(SEARCH(TRIM(Keywords!$A$2:$A$16),A268)))&gt;0,"Positive",
IF(SUMPRODUCT(--ISNUMBER(SEARCH(TRIM(Keywords!$A$2:$B$14),A268)))&gt;0,"Negative","Neutral")))</f>
        <v>Positive</v>
      </c>
    </row>
    <row r="269" spans="1:3" hidden="1" x14ac:dyDescent="0.25">
      <c r="A269" t="s">
        <v>37</v>
      </c>
      <c r="B269">
        <v>5</v>
      </c>
      <c r="C269" t="str">
        <f>IF(AND(SUMPRODUCT(--ISNUMBER(SEARCH(TRIM(Keywords!$A$2:$A$16),A269)))&gt;0,
        SUMPRODUCT(--ISNUMBER(SEARCH(TRIM(Keywords!$B$2:$B$14),A269)))&gt;0),"Neutral",
IF(SUMPRODUCT(--ISNUMBER(SEARCH(TRIM(Keywords!$A$2:$A$16),A269)))&gt;0,"Positive",
IF(SUMPRODUCT(--ISNUMBER(SEARCH(TRIM(Keywords!$A$2:$B$14),A269)))&gt;0,"Negative","Neutral")))</f>
        <v>Positive</v>
      </c>
    </row>
    <row r="270" spans="1:3" hidden="1" x14ac:dyDescent="0.25">
      <c r="A270" t="s">
        <v>192</v>
      </c>
      <c r="B270">
        <v>5</v>
      </c>
      <c r="C270" t="str">
        <f>IF(AND(SUMPRODUCT(--ISNUMBER(SEARCH(TRIM(Keywords!$A$2:$A$16),A270)))&gt;0,
        SUMPRODUCT(--ISNUMBER(SEARCH(TRIM(Keywords!$B$2:$B$14),A270)))&gt;0),"Neutral",
IF(SUMPRODUCT(--ISNUMBER(SEARCH(TRIM(Keywords!$A$2:$A$16),A270)))&gt;0,"Positive",
IF(SUMPRODUCT(--ISNUMBER(SEARCH(TRIM(Keywords!$A$2:$B$14),A270)))&gt;0,"Negative","Neutral")))</f>
        <v>Positive</v>
      </c>
    </row>
    <row r="271" spans="1:3" hidden="1" x14ac:dyDescent="0.25">
      <c r="A271" t="s">
        <v>37</v>
      </c>
      <c r="B271">
        <v>5</v>
      </c>
      <c r="C271" t="str">
        <f>IF(AND(SUMPRODUCT(--ISNUMBER(SEARCH(TRIM(Keywords!$A$2:$A$16),A271)))&gt;0,
        SUMPRODUCT(--ISNUMBER(SEARCH(TRIM(Keywords!$B$2:$B$14),A271)))&gt;0),"Neutral",
IF(SUMPRODUCT(--ISNUMBER(SEARCH(TRIM(Keywords!$A$2:$A$16),A271)))&gt;0,"Positive",
IF(SUMPRODUCT(--ISNUMBER(SEARCH(TRIM(Keywords!$A$2:$B$14),A271)))&gt;0,"Negative","Neutral")))</f>
        <v>Positive</v>
      </c>
    </row>
    <row r="272" spans="1:3" hidden="1" x14ac:dyDescent="0.25">
      <c r="A272" t="s">
        <v>2</v>
      </c>
      <c r="B272">
        <v>5</v>
      </c>
      <c r="C272" t="str">
        <f>IF(AND(SUMPRODUCT(--ISNUMBER(SEARCH(TRIM(Keywords!$A$2:$A$16),A272)))&gt;0,
        SUMPRODUCT(--ISNUMBER(SEARCH(TRIM(Keywords!$B$2:$B$14),A272)))&gt;0),"Neutral",
IF(SUMPRODUCT(--ISNUMBER(SEARCH(TRIM(Keywords!$A$2:$A$16),A272)))&gt;0,"Positive",
IF(SUMPRODUCT(--ISNUMBER(SEARCH(TRIM(Keywords!$A$2:$B$14),A272)))&gt;0,"Negative","Neutral")))</f>
        <v>Positive</v>
      </c>
    </row>
    <row r="273" spans="1:3" x14ac:dyDescent="0.25">
      <c r="A273" t="s">
        <v>166</v>
      </c>
      <c r="B273">
        <v>3</v>
      </c>
      <c r="C273" t="str">
        <f>IF(AND(SUMPRODUCT(--ISNUMBER(SEARCH(TRIM(Keywords!$A$2:$A$16),A273)))&gt;0,
        SUMPRODUCT(--ISNUMBER(SEARCH(TRIM(Keywords!$B$2:$B$14),A273)))&gt;0),"Neutral",
IF(SUMPRODUCT(--ISNUMBER(SEARCH(TRIM(Keywords!$A$2:$A$16),A273)))&gt;0,"Positive",
IF(SUMPRODUCT(--ISNUMBER(SEARCH(TRIM(Keywords!$A$2:$B$14),A273)))&gt;0,"Negative","Neutral")))</f>
        <v>Neutral</v>
      </c>
    </row>
    <row r="274" spans="1:3" x14ac:dyDescent="0.25">
      <c r="A274" t="s">
        <v>36</v>
      </c>
      <c r="B274">
        <v>3</v>
      </c>
      <c r="C274" t="str">
        <f>IF(AND(SUMPRODUCT(--ISNUMBER(SEARCH(TRIM(Keywords!$A$2:$A$16),A274)))&gt;0,
        SUMPRODUCT(--ISNUMBER(SEARCH(TRIM(Keywords!$B$2:$B$14),A274)))&gt;0),"Neutral",
IF(SUMPRODUCT(--ISNUMBER(SEARCH(TRIM(Keywords!$A$2:$A$16),A274)))&gt;0,"Positive",
IF(SUMPRODUCT(--ISNUMBER(SEARCH(TRIM(Keywords!$A$2:$B$14),A274)))&gt;0,"Negative","Neutral")))</f>
        <v>Neutral</v>
      </c>
    </row>
    <row r="275" spans="1:3" hidden="1" x14ac:dyDescent="0.25">
      <c r="A275" t="s">
        <v>37</v>
      </c>
      <c r="B275">
        <v>5</v>
      </c>
      <c r="C275" t="str">
        <f>IF(AND(SUMPRODUCT(--ISNUMBER(SEARCH(TRIM(Keywords!$A$2:$A$16),A275)))&gt;0,
        SUMPRODUCT(--ISNUMBER(SEARCH(TRIM(Keywords!$B$2:$B$14),A275)))&gt;0),"Neutral",
IF(SUMPRODUCT(--ISNUMBER(SEARCH(TRIM(Keywords!$A$2:$A$16),A275)))&gt;0,"Positive",
IF(SUMPRODUCT(--ISNUMBER(SEARCH(TRIM(Keywords!$A$2:$B$14),A275)))&gt;0,"Negative","Neutral")))</f>
        <v>Positive</v>
      </c>
    </row>
    <row r="276" spans="1:3" x14ac:dyDescent="0.25">
      <c r="A276" t="s">
        <v>193</v>
      </c>
      <c r="B276">
        <v>3</v>
      </c>
      <c r="C276" t="str">
        <f>IF(AND(SUMPRODUCT(--ISNUMBER(SEARCH(TRIM(Keywords!$A$2:$A$16),A276)))&gt;0,
        SUMPRODUCT(--ISNUMBER(SEARCH(TRIM(Keywords!$B$2:$B$14),A276)))&gt;0),"Neutral",
IF(SUMPRODUCT(--ISNUMBER(SEARCH(TRIM(Keywords!$A$2:$A$16),A276)))&gt;0,"Positive",
IF(SUMPRODUCT(--ISNUMBER(SEARCH(TRIM(Keywords!$A$2:$B$14),A276)))&gt;0,"Negative","Neutral")))</f>
        <v>Neutral</v>
      </c>
    </row>
    <row r="277" spans="1:3" hidden="1" x14ac:dyDescent="0.25">
      <c r="A277" t="s">
        <v>37</v>
      </c>
      <c r="B277">
        <v>5</v>
      </c>
      <c r="C277" t="str">
        <f>IF(AND(SUMPRODUCT(--ISNUMBER(SEARCH(TRIM(Keywords!$A$2:$A$16),A277)))&gt;0,
        SUMPRODUCT(--ISNUMBER(SEARCH(TRIM(Keywords!$B$2:$B$14),A277)))&gt;0),"Neutral",
IF(SUMPRODUCT(--ISNUMBER(SEARCH(TRIM(Keywords!$A$2:$A$16),A277)))&gt;0,"Positive",
IF(SUMPRODUCT(--ISNUMBER(SEARCH(TRIM(Keywords!$A$2:$B$14),A277)))&gt;0,"Negative","Neutral")))</f>
        <v>Positive</v>
      </c>
    </row>
    <row r="278" spans="1:3" hidden="1" x14ac:dyDescent="0.25">
      <c r="A278" t="s">
        <v>37</v>
      </c>
      <c r="B278">
        <v>5</v>
      </c>
      <c r="C278" t="str">
        <f>IF(AND(SUMPRODUCT(--ISNUMBER(SEARCH(TRIM(Keywords!$A$2:$A$16),A278)))&gt;0,
        SUMPRODUCT(--ISNUMBER(SEARCH(TRIM(Keywords!$B$2:$B$14),A278)))&gt;0),"Neutral",
IF(SUMPRODUCT(--ISNUMBER(SEARCH(TRIM(Keywords!$A$2:$A$16),A278)))&gt;0,"Positive",
IF(SUMPRODUCT(--ISNUMBER(SEARCH(TRIM(Keywords!$A$2:$B$14),A278)))&gt;0,"Negative","Neutral")))</f>
        <v>Positive</v>
      </c>
    </row>
    <row r="279" spans="1:3" hidden="1" x14ac:dyDescent="0.25">
      <c r="A279" t="s">
        <v>37</v>
      </c>
      <c r="B279">
        <v>5</v>
      </c>
      <c r="C279" t="str">
        <f>IF(AND(SUMPRODUCT(--ISNUMBER(SEARCH(TRIM(Keywords!$A$2:$A$16),A279)))&gt;0,
        SUMPRODUCT(--ISNUMBER(SEARCH(TRIM(Keywords!$B$2:$B$14),A279)))&gt;0),"Neutral",
IF(SUMPRODUCT(--ISNUMBER(SEARCH(TRIM(Keywords!$A$2:$A$16),A279)))&gt;0,"Positive",
IF(SUMPRODUCT(--ISNUMBER(SEARCH(TRIM(Keywords!$A$2:$B$14),A279)))&gt;0,"Negative","Neutral")))</f>
        <v>Positive</v>
      </c>
    </row>
    <row r="280" spans="1:3" x14ac:dyDescent="0.25">
      <c r="A280" t="s">
        <v>194</v>
      </c>
      <c r="B280">
        <v>3</v>
      </c>
      <c r="C280" t="str">
        <f>IF(AND(SUMPRODUCT(--ISNUMBER(SEARCH(TRIM(Keywords!$A$2:$A$16),A280)))&gt;0,
        SUMPRODUCT(--ISNUMBER(SEARCH(TRIM(Keywords!$B$2:$B$14),A280)))&gt;0),"Neutral",
IF(SUMPRODUCT(--ISNUMBER(SEARCH(TRIM(Keywords!$A$2:$A$16),A280)))&gt;0,"Positive",
IF(SUMPRODUCT(--ISNUMBER(SEARCH(TRIM(Keywords!$A$2:$B$14),A280)))&gt;0,"Negative","Neutral")))</f>
        <v>Neutral</v>
      </c>
    </row>
    <row r="281" spans="1:3" x14ac:dyDescent="0.25">
      <c r="A281" t="s">
        <v>195</v>
      </c>
      <c r="B281">
        <v>3</v>
      </c>
      <c r="C281" t="str">
        <f>IF(AND(SUMPRODUCT(--ISNUMBER(SEARCH(TRIM(Keywords!$A$2:$A$16),A281)))&gt;0,
        SUMPRODUCT(--ISNUMBER(SEARCH(TRIM(Keywords!$B$2:$B$14),A281)))&gt;0),"Neutral",
IF(SUMPRODUCT(--ISNUMBER(SEARCH(TRIM(Keywords!$A$2:$A$16),A281)))&gt;0,"Positive",
IF(SUMPRODUCT(--ISNUMBER(SEARCH(TRIM(Keywords!$A$2:$B$14),A281)))&gt;0,"Negative","Neutral")))</f>
        <v>Neutral</v>
      </c>
    </row>
    <row r="282" spans="1:3" x14ac:dyDescent="0.25">
      <c r="A282" t="s">
        <v>196</v>
      </c>
      <c r="B282">
        <v>1</v>
      </c>
      <c r="C282" t="str">
        <f>IF(AND(SUMPRODUCT(--ISNUMBER(SEARCH(TRIM(Keywords!$A$2:$A$16),A282)))&gt;0,
        SUMPRODUCT(--ISNUMBER(SEARCH(TRIM(Keywords!$B$2:$B$14),A282)))&gt;0),"Neutral",
IF(SUMPRODUCT(--ISNUMBER(SEARCH(TRIM(Keywords!$A$2:$A$16),A282)))&gt;0,"Positive",
IF(SUMPRODUCT(--ISNUMBER(SEARCH(TRIM(Keywords!$A$2:$B$14),A282)))&gt;0,"Negative","Neutral")))</f>
        <v>Neutral</v>
      </c>
    </row>
    <row r="283" spans="1:3" hidden="1" x14ac:dyDescent="0.25">
      <c r="A283" t="s">
        <v>2</v>
      </c>
      <c r="B283">
        <v>5</v>
      </c>
      <c r="C283" t="str">
        <f>IF(AND(SUMPRODUCT(--ISNUMBER(SEARCH(TRIM(Keywords!$A$2:$A$16),A283)))&gt;0,
        SUMPRODUCT(--ISNUMBER(SEARCH(TRIM(Keywords!$B$2:$B$14),A283)))&gt;0),"Neutral",
IF(SUMPRODUCT(--ISNUMBER(SEARCH(TRIM(Keywords!$A$2:$A$16),A283)))&gt;0,"Positive",
IF(SUMPRODUCT(--ISNUMBER(SEARCH(TRIM(Keywords!$A$2:$B$14),A283)))&gt;0,"Negative","Neutral")))</f>
        <v>Positive</v>
      </c>
    </row>
    <row r="284" spans="1:3" hidden="1" x14ac:dyDescent="0.25">
      <c r="A284" t="s">
        <v>2</v>
      </c>
      <c r="B284">
        <v>5</v>
      </c>
      <c r="C284" t="str">
        <f>IF(AND(SUMPRODUCT(--ISNUMBER(SEARCH(TRIM(Keywords!$A$2:$A$16),A284)))&gt;0,
        SUMPRODUCT(--ISNUMBER(SEARCH(TRIM(Keywords!$B$2:$B$14),A284)))&gt;0),"Neutral",
IF(SUMPRODUCT(--ISNUMBER(SEARCH(TRIM(Keywords!$A$2:$A$16),A284)))&gt;0,"Positive",
IF(SUMPRODUCT(--ISNUMBER(SEARCH(TRIM(Keywords!$A$2:$B$14),A284)))&gt;0,"Negative","Neutral")))</f>
        <v>Positive</v>
      </c>
    </row>
    <row r="285" spans="1:3" hidden="1" x14ac:dyDescent="0.25">
      <c r="A285" t="s">
        <v>38</v>
      </c>
      <c r="B285">
        <v>4</v>
      </c>
      <c r="C285" t="str">
        <f>IF(AND(SUMPRODUCT(--ISNUMBER(SEARCH(TRIM(Keywords!$A$2:$A$16),A285)))&gt;0,
        SUMPRODUCT(--ISNUMBER(SEARCH(TRIM(Keywords!$B$2:$B$14),A285)))&gt;0),"Neutral",
IF(SUMPRODUCT(--ISNUMBER(SEARCH(TRIM(Keywords!$A$2:$A$16),A285)))&gt;0,"Positive",
IF(SUMPRODUCT(--ISNUMBER(SEARCH(TRIM(Keywords!$A$2:$B$14),A285)))&gt;0,"Negative","Neutral")))</f>
        <v>Positive</v>
      </c>
    </row>
    <row r="286" spans="1:3" hidden="1" x14ac:dyDescent="0.25">
      <c r="A286" t="s">
        <v>2</v>
      </c>
      <c r="B286">
        <v>4</v>
      </c>
      <c r="C286" t="str">
        <f>IF(AND(SUMPRODUCT(--ISNUMBER(SEARCH(TRIM(Keywords!$A$2:$A$16),A286)))&gt;0,
        SUMPRODUCT(--ISNUMBER(SEARCH(TRIM(Keywords!$B$2:$B$14),A286)))&gt;0),"Neutral",
IF(SUMPRODUCT(--ISNUMBER(SEARCH(TRIM(Keywords!$A$2:$A$16),A286)))&gt;0,"Positive",
IF(SUMPRODUCT(--ISNUMBER(SEARCH(TRIM(Keywords!$A$2:$B$14),A286)))&gt;0,"Negative","Neutral")))</f>
        <v>Positive</v>
      </c>
    </row>
    <row r="287" spans="1:3" x14ac:dyDescent="0.25">
      <c r="A287" t="s">
        <v>197</v>
      </c>
      <c r="B287">
        <v>3</v>
      </c>
      <c r="C287" t="str">
        <f>IF(AND(SUMPRODUCT(--ISNUMBER(SEARCH(TRIM(Keywords!$A$2:$A$16),A287)))&gt;0,
        SUMPRODUCT(--ISNUMBER(SEARCH(TRIM(Keywords!$B$2:$B$14),A287)))&gt;0),"Neutral",
IF(SUMPRODUCT(--ISNUMBER(SEARCH(TRIM(Keywords!$A$2:$A$16),A287)))&gt;0,"Positive",
IF(SUMPRODUCT(--ISNUMBER(SEARCH(TRIM(Keywords!$A$2:$B$14),A287)))&gt;0,"Negative","Neutral")))</f>
        <v>Neutral</v>
      </c>
    </row>
    <row r="288" spans="1:3" hidden="1" x14ac:dyDescent="0.25">
      <c r="A288" t="s">
        <v>2</v>
      </c>
      <c r="B288">
        <v>5</v>
      </c>
      <c r="C288" t="str">
        <f>IF(AND(SUMPRODUCT(--ISNUMBER(SEARCH(TRIM(Keywords!$A$2:$A$16),A288)))&gt;0,
        SUMPRODUCT(--ISNUMBER(SEARCH(TRIM(Keywords!$B$2:$B$14),A288)))&gt;0),"Neutral",
IF(SUMPRODUCT(--ISNUMBER(SEARCH(TRIM(Keywords!$A$2:$A$16),A288)))&gt;0,"Positive",
IF(SUMPRODUCT(--ISNUMBER(SEARCH(TRIM(Keywords!$A$2:$B$14),A288)))&gt;0,"Negative","Neutral")))</f>
        <v>Positive</v>
      </c>
    </row>
    <row r="289" spans="1:3" hidden="1" x14ac:dyDescent="0.25">
      <c r="A289" t="s">
        <v>198</v>
      </c>
      <c r="B289">
        <v>5</v>
      </c>
      <c r="C289" t="str">
        <f>IF(AND(SUMPRODUCT(--ISNUMBER(SEARCH(TRIM(Keywords!$A$2:$A$16),A289)))&gt;0,
        SUMPRODUCT(--ISNUMBER(SEARCH(TRIM(Keywords!$B$2:$B$14),A289)))&gt;0),"Neutral",
IF(SUMPRODUCT(--ISNUMBER(SEARCH(TRIM(Keywords!$A$2:$A$16),A289)))&gt;0,"Positive",
IF(SUMPRODUCT(--ISNUMBER(SEARCH(TRIM(Keywords!$A$2:$B$14),A289)))&gt;0,"Negative","Neutral")))</f>
        <v>Positive</v>
      </c>
    </row>
    <row r="290" spans="1:3" hidden="1" x14ac:dyDescent="0.25">
      <c r="A290" t="s">
        <v>37</v>
      </c>
      <c r="B290">
        <v>5</v>
      </c>
      <c r="C290" t="str">
        <f>IF(AND(SUMPRODUCT(--ISNUMBER(SEARCH(TRIM(Keywords!$A$2:$A$16),A290)))&gt;0,
        SUMPRODUCT(--ISNUMBER(SEARCH(TRIM(Keywords!$B$2:$B$14),A290)))&gt;0),"Neutral",
IF(SUMPRODUCT(--ISNUMBER(SEARCH(TRIM(Keywords!$A$2:$A$16),A290)))&gt;0,"Positive",
IF(SUMPRODUCT(--ISNUMBER(SEARCH(TRIM(Keywords!$A$2:$B$14),A290)))&gt;0,"Negative","Neutral")))</f>
        <v>Positive</v>
      </c>
    </row>
    <row r="291" spans="1:3" hidden="1" x14ac:dyDescent="0.25">
      <c r="A291" t="s">
        <v>199</v>
      </c>
      <c r="B291">
        <v>5</v>
      </c>
      <c r="C291" t="str">
        <f>IF(AND(SUMPRODUCT(--ISNUMBER(SEARCH(TRIM(Keywords!$A$2:$A$16),A291)))&gt;0,
        SUMPRODUCT(--ISNUMBER(SEARCH(TRIM(Keywords!$B$2:$B$14),A291)))&gt;0),"Neutral",
IF(SUMPRODUCT(--ISNUMBER(SEARCH(TRIM(Keywords!$A$2:$A$16),A291)))&gt;0,"Positive",
IF(SUMPRODUCT(--ISNUMBER(SEARCH(TRIM(Keywords!$A$2:$B$14),A291)))&gt;0,"Negative","Neutral")))</f>
        <v>Positive</v>
      </c>
    </row>
    <row r="292" spans="1:3" hidden="1" x14ac:dyDescent="0.25">
      <c r="A292" t="s">
        <v>2</v>
      </c>
      <c r="B292">
        <v>5</v>
      </c>
      <c r="C292" t="str">
        <f>IF(AND(SUMPRODUCT(--ISNUMBER(SEARCH(TRIM(Keywords!$A$2:$A$16),A292)))&gt;0,
        SUMPRODUCT(--ISNUMBER(SEARCH(TRIM(Keywords!$B$2:$B$14),A292)))&gt;0),"Neutral",
IF(SUMPRODUCT(--ISNUMBER(SEARCH(TRIM(Keywords!$A$2:$A$16),A292)))&gt;0,"Positive",
IF(SUMPRODUCT(--ISNUMBER(SEARCH(TRIM(Keywords!$A$2:$B$14),A292)))&gt;0,"Negative","Neutral")))</f>
        <v>Positive</v>
      </c>
    </row>
    <row r="293" spans="1:3" hidden="1" x14ac:dyDescent="0.25">
      <c r="A293" t="s">
        <v>200</v>
      </c>
      <c r="B293">
        <v>5</v>
      </c>
      <c r="C293" t="str">
        <f>IF(AND(SUMPRODUCT(--ISNUMBER(SEARCH(TRIM(Keywords!$A$2:$A$16),A293)))&gt;0,
        SUMPRODUCT(--ISNUMBER(SEARCH(TRIM(Keywords!$B$2:$B$14),A293)))&gt;0),"Neutral",
IF(SUMPRODUCT(--ISNUMBER(SEARCH(TRIM(Keywords!$A$2:$A$16),A293)))&gt;0,"Positive",
IF(SUMPRODUCT(--ISNUMBER(SEARCH(TRIM(Keywords!$A$2:$B$14),A293)))&gt;0,"Negative","Neutral")))</f>
        <v>Positive</v>
      </c>
    </row>
    <row r="294" spans="1:3" x14ac:dyDescent="0.25">
      <c r="A294" t="s">
        <v>201</v>
      </c>
      <c r="B294">
        <v>1</v>
      </c>
      <c r="C294" t="str">
        <f>IF(AND(SUMPRODUCT(--ISNUMBER(SEARCH(TRIM(Keywords!$A$2:$A$16),A294)))&gt;0,
        SUMPRODUCT(--ISNUMBER(SEARCH(TRIM(Keywords!$B$2:$B$14),A294)))&gt;0),"Neutral",
IF(SUMPRODUCT(--ISNUMBER(SEARCH(TRIM(Keywords!$A$2:$A$16),A294)))&gt;0,"Positive",
IF(SUMPRODUCT(--ISNUMBER(SEARCH(TRIM(Keywords!$A$2:$B$14),A294)))&gt;0,"Negative","Neutral")))</f>
        <v>Neutral</v>
      </c>
    </row>
    <row r="295" spans="1:3" x14ac:dyDescent="0.25">
      <c r="A295" t="s">
        <v>202</v>
      </c>
      <c r="B295">
        <v>2</v>
      </c>
      <c r="C295" t="str">
        <f>IF(AND(SUMPRODUCT(--ISNUMBER(SEARCH(TRIM(Keywords!$A$2:$A$16),A295)))&gt;0,
        SUMPRODUCT(--ISNUMBER(SEARCH(TRIM(Keywords!$B$2:$B$14),A295)))&gt;0),"Neutral",
IF(SUMPRODUCT(--ISNUMBER(SEARCH(TRIM(Keywords!$A$2:$A$16),A295)))&gt;0,"Positive",
IF(SUMPRODUCT(--ISNUMBER(SEARCH(TRIM(Keywords!$A$2:$B$14),A295)))&gt;0,"Negative","Neutral")))</f>
        <v>Neutral</v>
      </c>
    </row>
    <row r="296" spans="1:3" hidden="1" x14ac:dyDescent="0.25">
      <c r="A296" t="s">
        <v>203</v>
      </c>
      <c r="B296">
        <v>5</v>
      </c>
      <c r="C296" t="str">
        <f>IF(AND(SUMPRODUCT(--ISNUMBER(SEARCH(TRIM(Keywords!$A$2:$A$16),A296)))&gt;0,
        SUMPRODUCT(--ISNUMBER(SEARCH(TRIM(Keywords!$B$2:$B$14),A296)))&gt;0),"Neutral",
IF(SUMPRODUCT(--ISNUMBER(SEARCH(TRIM(Keywords!$A$2:$A$16),A296)))&gt;0,"Positive",
IF(SUMPRODUCT(--ISNUMBER(SEARCH(TRIM(Keywords!$A$2:$B$14),A296)))&gt;0,"Negative","Neutral")))</f>
        <v>Positive</v>
      </c>
    </row>
    <row r="297" spans="1:3" x14ac:dyDescent="0.25">
      <c r="A297" t="s">
        <v>204</v>
      </c>
      <c r="B297">
        <v>5</v>
      </c>
      <c r="C297" t="str">
        <f>IF(AND(SUMPRODUCT(--ISNUMBER(SEARCH(TRIM(Keywords!$A$2:$A$16),A297)))&gt;0,
        SUMPRODUCT(--ISNUMBER(SEARCH(TRIM(Keywords!$B$2:$B$14),A297)))&gt;0),"Neutral",
IF(SUMPRODUCT(--ISNUMBER(SEARCH(TRIM(Keywords!$A$2:$A$16),A297)))&gt;0,"Positive",
IF(SUMPRODUCT(--ISNUMBER(SEARCH(TRIM(Keywords!$A$2:$B$14),A297)))&gt;0,"Negative","Neutral")))</f>
        <v>Neutral</v>
      </c>
    </row>
    <row r="298" spans="1:3" x14ac:dyDescent="0.25">
      <c r="A298" t="s">
        <v>205</v>
      </c>
      <c r="B298">
        <v>3</v>
      </c>
      <c r="C298" t="str">
        <f>IF(AND(SUMPRODUCT(--ISNUMBER(SEARCH(TRIM(Keywords!$A$2:$A$16),A298)))&gt;0,
        SUMPRODUCT(--ISNUMBER(SEARCH(TRIM(Keywords!$B$2:$B$14),A298)))&gt;0),"Neutral",
IF(SUMPRODUCT(--ISNUMBER(SEARCH(TRIM(Keywords!$A$2:$A$16),A298)))&gt;0,"Positive",
IF(SUMPRODUCT(--ISNUMBER(SEARCH(TRIM(Keywords!$A$2:$B$14),A298)))&gt;0,"Negative","Neutral")))</f>
        <v>Neutral</v>
      </c>
    </row>
    <row r="299" spans="1:3" x14ac:dyDescent="0.25">
      <c r="A299" t="s">
        <v>206</v>
      </c>
      <c r="B299">
        <v>3</v>
      </c>
      <c r="C299" t="str">
        <f>IF(AND(SUMPRODUCT(--ISNUMBER(SEARCH(TRIM(Keywords!$A$2:$A$16),A299)))&gt;0,
        SUMPRODUCT(--ISNUMBER(SEARCH(TRIM(Keywords!$B$2:$B$14),A299)))&gt;0),"Neutral",
IF(SUMPRODUCT(--ISNUMBER(SEARCH(TRIM(Keywords!$A$2:$A$16),A299)))&gt;0,"Positive",
IF(SUMPRODUCT(--ISNUMBER(SEARCH(TRIM(Keywords!$A$2:$B$14),A299)))&gt;0,"Negative","Neutral")))</f>
        <v>Neutral</v>
      </c>
    </row>
    <row r="300" spans="1:3" hidden="1" x14ac:dyDescent="0.25">
      <c r="A300" t="s">
        <v>207</v>
      </c>
      <c r="B300">
        <v>5</v>
      </c>
      <c r="C300" t="str">
        <f>IF(AND(SUMPRODUCT(--ISNUMBER(SEARCH(TRIM(Keywords!$A$2:$A$16),A300)))&gt;0,
        SUMPRODUCT(--ISNUMBER(SEARCH(TRIM(Keywords!$B$2:$B$14),A300)))&gt;0),"Neutral",
IF(SUMPRODUCT(--ISNUMBER(SEARCH(TRIM(Keywords!$A$2:$A$16),A300)))&gt;0,"Positive",
IF(SUMPRODUCT(--ISNUMBER(SEARCH(TRIM(Keywords!$A$2:$B$14),A300)))&gt;0,"Negative","Neutral")))</f>
        <v>Positive</v>
      </c>
    </row>
    <row r="301" spans="1:3" hidden="1" x14ac:dyDescent="0.25">
      <c r="A301" t="s">
        <v>208</v>
      </c>
      <c r="B301">
        <v>1</v>
      </c>
      <c r="C301" t="str">
        <f>IF(AND(SUMPRODUCT(--ISNUMBER(SEARCH(TRIM(Keywords!$A$2:$A$16),A301)))&gt;0,
        SUMPRODUCT(--ISNUMBER(SEARCH(TRIM(Keywords!$B$2:$B$14),A301)))&gt;0),"Neutral",
IF(SUMPRODUCT(--ISNUMBER(SEARCH(TRIM(Keywords!$A$2:$A$16),A301)))&gt;0,"Positive",
IF(SUMPRODUCT(--ISNUMBER(SEARCH(TRIM(Keywords!$A$2:$B$14),A301)))&gt;0,"Negative","Neutral")))</f>
        <v>Negative</v>
      </c>
    </row>
    <row r="302" spans="1:3" x14ac:dyDescent="0.25">
      <c r="A302" t="s">
        <v>209</v>
      </c>
      <c r="B302">
        <v>3</v>
      </c>
      <c r="C302" t="str">
        <f>IF(AND(SUMPRODUCT(--ISNUMBER(SEARCH(TRIM(Keywords!$A$2:$A$16),A302)))&gt;0,
        SUMPRODUCT(--ISNUMBER(SEARCH(TRIM(Keywords!$B$2:$B$14),A302)))&gt;0),"Neutral",
IF(SUMPRODUCT(--ISNUMBER(SEARCH(TRIM(Keywords!$A$2:$A$16),A302)))&gt;0,"Positive",
IF(SUMPRODUCT(--ISNUMBER(SEARCH(TRIM(Keywords!$A$2:$B$14),A302)))&gt;0,"Negative","Neutral")))</f>
        <v>Neutral</v>
      </c>
    </row>
    <row r="303" spans="1:3" hidden="1" x14ac:dyDescent="0.25">
      <c r="A303" t="s">
        <v>2</v>
      </c>
      <c r="B303">
        <v>4</v>
      </c>
      <c r="C303" t="str">
        <f>IF(AND(SUMPRODUCT(--ISNUMBER(SEARCH(TRIM(Keywords!$A$2:$A$16),A303)))&gt;0,
        SUMPRODUCT(--ISNUMBER(SEARCH(TRIM(Keywords!$B$2:$B$14),A303)))&gt;0),"Neutral",
IF(SUMPRODUCT(--ISNUMBER(SEARCH(TRIM(Keywords!$A$2:$A$16),A303)))&gt;0,"Positive",
IF(SUMPRODUCT(--ISNUMBER(SEARCH(TRIM(Keywords!$A$2:$B$14),A303)))&gt;0,"Negative","Neutral")))</f>
        <v>Positive</v>
      </c>
    </row>
    <row r="304" spans="1:3" x14ac:dyDescent="0.25">
      <c r="A304" t="s">
        <v>210</v>
      </c>
      <c r="B304">
        <v>3</v>
      </c>
      <c r="C304" t="str">
        <f>IF(AND(SUMPRODUCT(--ISNUMBER(SEARCH(TRIM(Keywords!$A$2:$A$16),A304)))&gt;0,
        SUMPRODUCT(--ISNUMBER(SEARCH(TRIM(Keywords!$B$2:$B$14),A304)))&gt;0),"Neutral",
IF(SUMPRODUCT(--ISNUMBER(SEARCH(TRIM(Keywords!$A$2:$A$16),A304)))&gt;0,"Positive",
IF(SUMPRODUCT(--ISNUMBER(SEARCH(TRIM(Keywords!$A$2:$B$14),A304)))&gt;0,"Negative","Neutral")))</f>
        <v>Neutral</v>
      </c>
    </row>
    <row r="305" spans="1:3" hidden="1" x14ac:dyDescent="0.25">
      <c r="A305" t="s">
        <v>2</v>
      </c>
      <c r="B305">
        <v>5</v>
      </c>
      <c r="C305" t="str">
        <f>IF(AND(SUMPRODUCT(--ISNUMBER(SEARCH(TRIM(Keywords!$A$2:$A$16),A305)))&gt;0,
        SUMPRODUCT(--ISNUMBER(SEARCH(TRIM(Keywords!$B$2:$B$14),A305)))&gt;0),"Neutral",
IF(SUMPRODUCT(--ISNUMBER(SEARCH(TRIM(Keywords!$A$2:$A$16),A305)))&gt;0,"Positive",
IF(SUMPRODUCT(--ISNUMBER(SEARCH(TRIM(Keywords!$A$2:$B$14),A305)))&gt;0,"Negative","Neutral")))</f>
        <v>Positive</v>
      </c>
    </row>
    <row r="306" spans="1:3" hidden="1" x14ac:dyDescent="0.25">
      <c r="A306" t="s">
        <v>12</v>
      </c>
      <c r="B306">
        <v>5</v>
      </c>
      <c r="C306" t="str">
        <f>IF(AND(SUMPRODUCT(--ISNUMBER(SEARCH(TRIM(Keywords!$A$2:$A$16),A306)))&gt;0,
        SUMPRODUCT(--ISNUMBER(SEARCH(TRIM(Keywords!$B$2:$B$14),A306)))&gt;0),"Neutral",
IF(SUMPRODUCT(--ISNUMBER(SEARCH(TRIM(Keywords!$A$2:$A$16),A306)))&gt;0,"Positive",
IF(SUMPRODUCT(--ISNUMBER(SEARCH(TRIM(Keywords!$A$2:$B$14),A306)))&gt;0,"Negative","Neutral")))</f>
        <v>Positive</v>
      </c>
    </row>
    <row r="307" spans="1:3" hidden="1" x14ac:dyDescent="0.25">
      <c r="A307" t="s">
        <v>37</v>
      </c>
      <c r="B307">
        <v>5</v>
      </c>
      <c r="C307" t="str">
        <f>IF(AND(SUMPRODUCT(--ISNUMBER(SEARCH(TRIM(Keywords!$A$2:$A$16),A307)))&gt;0,
        SUMPRODUCT(--ISNUMBER(SEARCH(TRIM(Keywords!$B$2:$B$14),A307)))&gt;0),"Neutral",
IF(SUMPRODUCT(--ISNUMBER(SEARCH(TRIM(Keywords!$A$2:$A$16),A307)))&gt;0,"Positive",
IF(SUMPRODUCT(--ISNUMBER(SEARCH(TRIM(Keywords!$A$2:$B$14),A307)))&gt;0,"Negative","Neutral")))</f>
        <v>Positive</v>
      </c>
    </row>
    <row r="308" spans="1:3" hidden="1" x14ac:dyDescent="0.25">
      <c r="A308" t="s">
        <v>211</v>
      </c>
      <c r="B308">
        <v>4</v>
      </c>
      <c r="C308" t="str">
        <f>IF(AND(SUMPRODUCT(--ISNUMBER(SEARCH(TRIM(Keywords!$A$2:$A$16),A308)))&gt;0,
        SUMPRODUCT(--ISNUMBER(SEARCH(TRIM(Keywords!$B$2:$B$14),A308)))&gt;0),"Neutral",
IF(SUMPRODUCT(--ISNUMBER(SEARCH(TRIM(Keywords!$A$2:$A$16),A308)))&gt;0,"Positive",
IF(SUMPRODUCT(--ISNUMBER(SEARCH(TRIM(Keywords!$A$2:$B$14),A308)))&gt;0,"Negative","Neutral")))</f>
        <v>Positive</v>
      </c>
    </row>
    <row r="309" spans="1:3" hidden="1" x14ac:dyDescent="0.25">
      <c r="A309" t="s">
        <v>2</v>
      </c>
      <c r="B309">
        <v>5</v>
      </c>
      <c r="C309" t="str">
        <f>IF(AND(SUMPRODUCT(--ISNUMBER(SEARCH(TRIM(Keywords!$A$2:$A$16),A309)))&gt;0,
        SUMPRODUCT(--ISNUMBER(SEARCH(TRIM(Keywords!$B$2:$B$14),A309)))&gt;0),"Neutral",
IF(SUMPRODUCT(--ISNUMBER(SEARCH(TRIM(Keywords!$A$2:$A$16),A309)))&gt;0,"Positive",
IF(SUMPRODUCT(--ISNUMBER(SEARCH(TRIM(Keywords!$A$2:$B$14),A309)))&gt;0,"Negative","Neutral")))</f>
        <v>Positive</v>
      </c>
    </row>
    <row r="310" spans="1:3" hidden="1" x14ac:dyDescent="0.25">
      <c r="A310" t="s">
        <v>212</v>
      </c>
      <c r="B310">
        <v>5</v>
      </c>
      <c r="C310" t="str">
        <f>IF(AND(SUMPRODUCT(--ISNUMBER(SEARCH(TRIM(Keywords!$A$2:$A$16),A310)))&gt;0,
        SUMPRODUCT(--ISNUMBER(SEARCH(TRIM(Keywords!$B$2:$B$14),A310)))&gt;0),"Neutral",
IF(SUMPRODUCT(--ISNUMBER(SEARCH(TRIM(Keywords!$A$2:$A$16),A310)))&gt;0,"Positive",
IF(SUMPRODUCT(--ISNUMBER(SEARCH(TRIM(Keywords!$A$2:$B$14),A310)))&gt;0,"Negative","Neutral")))</f>
        <v>Positive</v>
      </c>
    </row>
    <row r="311" spans="1:3" hidden="1" x14ac:dyDescent="0.25">
      <c r="A311" t="s">
        <v>2</v>
      </c>
      <c r="B311">
        <v>4</v>
      </c>
      <c r="C311" t="str">
        <f>IF(AND(SUMPRODUCT(--ISNUMBER(SEARCH(TRIM(Keywords!$A$2:$A$16),A311)))&gt;0,
        SUMPRODUCT(--ISNUMBER(SEARCH(TRIM(Keywords!$B$2:$B$14),A311)))&gt;0),"Neutral",
IF(SUMPRODUCT(--ISNUMBER(SEARCH(TRIM(Keywords!$A$2:$A$16),A311)))&gt;0,"Positive",
IF(SUMPRODUCT(--ISNUMBER(SEARCH(TRIM(Keywords!$A$2:$B$14),A311)))&gt;0,"Negative","Neutral")))</f>
        <v>Positive</v>
      </c>
    </row>
    <row r="312" spans="1:3" x14ac:dyDescent="0.25">
      <c r="A312" t="s">
        <v>36</v>
      </c>
      <c r="B312">
        <v>3</v>
      </c>
      <c r="C312" t="str">
        <f>IF(AND(SUMPRODUCT(--ISNUMBER(SEARCH(TRIM(Keywords!$A$2:$A$16),A312)))&gt;0,
        SUMPRODUCT(--ISNUMBER(SEARCH(TRIM(Keywords!$B$2:$B$14),A312)))&gt;0),"Neutral",
IF(SUMPRODUCT(--ISNUMBER(SEARCH(TRIM(Keywords!$A$2:$A$16),A312)))&gt;0,"Positive",
IF(SUMPRODUCT(--ISNUMBER(SEARCH(TRIM(Keywords!$A$2:$B$14),A312)))&gt;0,"Negative","Neutral")))</f>
        <v>Neutral</v>
      </c>
    </row>
    <row r="313" spans="1:3" hidden="1" x14ac:dyDescent="0.25">
      <c r="A313" t="s">
        <v>2</v>
      </c>
      <c r="B313">
        <v>5</v>
      </c>
      <c r="C313" t="str">
        <f>IF(AND(SUMPRODUCT(--ISNUMBER(SEARCH(TRIM(Keywords!$A$2:$A$16),A313)))&gt;0,
        SUMPRODUCT(--ISNUMBER(SEARCH(TRIM(Keywords!$B$2:$B$14),A313)))&gt;0),"Neutral",
IF(SUMPRODUCT(--ISNUMBER(SEARCH(TRIM(Keywords!$A$2:$A$16),A313)))&gt;0,"Positive",
IF(SUMPRODUCT(--ISNUMBER(SEARCH(TRIM(Keywords!$A$2:$B$14),A313)))&gt;0,"Negative","Neutral")))</f>
        <v>Positive</v>
      </c>
    </row>
    <row r="314" spans="1:3" hidden="1" x14ac:dyDescent="0.25">
      <c r="A314" t="s">
        <v>2</v>
      </c>
      <c r="B314">
        <v>5</v>
      </c>
      <c r="C314" t="str">
        <f>IF(AND(SUMPRODUCT(--ISNUMBER(SEARCH(TRIM(Keywords!$A$2:$A$16),A314)))&gt;0,
        SUMPRODUCT(--ISNUMBER(SEARCH(TRIM(Keywords!$B$2:$B$14),A314)))&gt;0),"Neutral",
IF(SUMPRODUCT(--ISNUMBER(SEARCH(TRIM(Keywords!$A$2:$A$16),A314)))&gt;0,"Positive",
IF(SUMPRODUCT(--ISNUMBER(SEARCH(TRIM(Keywords!$A$2:$B$14),A314)))&gt;0,"Negative","Neutral")))</f>
        <v>Positive</v>
      </c>
    </row>
    <row r="315" spans="1:3" x14ac:dyDescent="0.25">
      <c r="A315" t="s">
        <v>213</v>
      </c>
      <c r="B315">
        <v>3</v>
      </c>
      <c r="C315" t="str">
        <f>IF(AND(SUMPRODUCT(--ISNUMBER(SEARCH(TRIM(Keywords!$A$2:$A$16),A315)))&gt;0,
        SUMPRODUCT(--ISNUMBER(SEARCH(TRIM(Keywords!$B$2:$B$14),A315)))&gt;0),"Neutral",
IF(SUMPRODUCT(--ISNUMBER(SEARCH(TRIM(Keywords!$A$2:$A$16),A315)))&gt;0,"Positive",
IF(SUMPRODUCT(--ISNUMBER(SEARCH(TRIM(Keywords!$A$2:$B$14),A315)))&gt;0,"Negative","Neutral")))</f>
        <v>Neutral</v>
      </c>
    </row>
    <row r="316" spans="1:3" hidden="1" x14ac:dyDescent="0.25">
      <c r="A316" t="s">
        <v>2</v>
      </c>
      <c r="B316">
        <v>5</v>
      </c>
      <c r="C316" t="str">
        <f>IF(AND(SUMPRODUCT(--ISNUMBER(SEARCH(TRIM(Keywords!$A$2:$A$16),A316)))&gt;0,
        SUMPRODUCT(--ISNUMBER(SEARCH(TRIM(Keywords!$B$2:$B$14),A316)))&gt;0),"Neutral",
IF(SUMPRODUCT(--ISNUMBER(SEARCH(TRIM(Keywords!$A$2:$A$16),A316)))&gt;0,"Positive",
IF(SUMPRODUCT(--ISNUMBER(SEARCH(TRIM(Keywords!$A$2:$B$14),A316)))&gt;0,"Negative","Neutral")))</f>
        <v>Positive</v>
      </c>
    </row>
    <row r="317" spans="1:3" x14ac:dyDescent="0.25">
      <c r="A317" t="s">
        <v>214</v>
      </c>
      <c r="B317">
        <v>3</v>
      </c>
      <c r="C317" t="str">
        <f>IF(AND(SUMPRODUCT(--ISNUMBER(SEARCH(TRIM(Keywords!$A$2:$A$16),A317)))&gt;0,
        SUMPRODUCT(--ISNUMBER(SEARCH(TRIM(Keywords!$B$2:$B$14),A317)))&gt;0),"Neutral",
IF(SUMPRODUCT(--ISNUMBER(SEARCH(TRIM(Keywords!$A$2:$A$16),A317)))&gt;0,"Positive",
IF(SUMPRODUCT(--ISNUMBER(SEARCH(TRIM(Keywords!$A$2:$B$14),A317)))&gt;0,"Negative","Neutral")))</f>
        <v>Neutral</v>
      </c>
    </row>
    <row r="318" spans="1:3" x14ac:dyDescent="0.25">
      <c r="A318" t="s">
        <v>34</v>
      </c>
      <c r="B318">
        <v>5</v>
      </c>
      <c r="C318" t="str">
        <f>IF(AND(SUMPRODUCT(--ISNUMBER(SEARCH(TRIM(Keywords!$A$2:$A$16),A318)))&gt;0,
        SUMPRODUCT(--ISNUMBER(SEARCH(TRIM(Keywords!$B$2:$B$14),A318)))&gt;0),"Neutral",
IF(SUMPRODUCT(--ISNUMBER(SEARCH(TRIM(Keywords!$A$2:$A$16),A318)))&gt;0,"Positive",
IF(SUMPRODUCT(--ISNUMBER(SEARCH(TRIM(Keywords!$A$2:$B$14),A318)))&gt;0,"Negative","Neutral")))</f>
        <v>Neutral</v>
      </c>
    </row>
    <row r="319" spans="1:3" hidden="1" x14ac:dyDescent="0.25">
      <c r="A319" t="s">
        <v>12</v>
      </c>
      <c r="B319">
        <v>4</v>
      </c>
      <c r="C319" t="str">
        <f>IF(AND(SUMPRODUCT(--ISNUMBER(SEARCH(TRIM(Keywords!$A$2:$A$16),A319)))&gt;0,
        SUMPRODUCT(--ISNUMBER(SEARCH(TRIM(Keywords!$B$2:$B$14),A319)))&gt;0),"Neutral",
IF(SUMPRODUCT(--ISNUMBER(SEARCH(TRIM(Keywords!$A$2:$A$16),A319)))&gt;0,"Positive",
IF(SUMPRODUCT(--ISNUMBER(SEARCH(TRIM(Keywords!$A$2:$B$14),A319)))&gt;0,"Negative","Neutral")))</f>
        <v>Positive</v>
      </c>
    </row>
    <row r="320" spans="1:3" hidden="1" x14ac:dyDescent="0.25">
      <c r="A320" t="s">
        <v>215</v>
      </c>
      <c r="B320">
        <v>5</v>
      </c>
      <c r="C320" t="str">
        <f>IF(AND(SUMPRODUCT(--ISNUMBER(SEARCH(TRIM(Keywords!$A$2:$A$16),A320)))&gt;0,
        SUMPRODUCT(--ISNUMBER(SEARCH(TRIM(Keywords!$B$2:$B$14),A320)))&gt;0),"Neutral",
IF(SUMPRODUCT(--ISNUMBER(SEARCH(TRIM(Keywords!$A$2:$A$16),A320)))&gt;0,"Positive",
IF(SUMPRODUCT(--ISNUMBER(SEARCH(TRIM(Keywords!$A$2:$B$14),A320)))&gt;0,"Negative","Neutral")))</f>
        <v>Positive</v>
      </c>
    </row>
    <row r="321" spans="1:3" hidden="1" x14ac:dyDescent="0.25">
      <c r="A321" t="s">
        <v>2</v>
      </c>
      <c r="B321">
        <v>5</v>
      </c>
      <c r="C321" t="str">
        <f>IF(AND(SUMPRODUCT(--ISNUMBER(SEARCH(TRIM(Keywords!$A$2:$A$16),A321)))&gt;0,
        SUMPRODUCT(--ISNUMBER(SEARCH(TRIM(Keywords!$B$2:$B$14),A321)))&gt;0),"Neutral",
IF(SUMPRODUCT(--ISNUMBER(SEARCH(TRIM(Keywords!$A$2:$A$16),A321)))&gt;0,"Positive",
IF(SUMPRODUCT(--ISNUMBER(SEARCH(TRIM(Keywords!$A$2:$B$14),A321)))&gt;0,"Negative","Neutral")))</f>
        <v>Positive</v>
      </c>
    </row>
    <row r="322" spans="1:3" hidden="1" x14ac:dyDescent="0.25">
      <c r="A322" t="s">
        <v>37</v>
      </c>
      <c r="B322">
        <v>5</v>
      </c>
      <c r="C322" t="str">
        <f>IF(AND(SUMPRODUCT(--ISNUMBER(SEARCH(TRIM(Keywords!$A$2:$A$16),A322)))&gt;0,
        SUMPRODUCT(--ISNUMBER(SEARCH(TRIM(Keywords!$B$2:$B$14),A322)))&gt;0),"Neutral",
IF(SUMPRODUCT(--ISNUMBER(SEARCH(TRIM(Keywords!$A$2:$A$16),A322)))&gt;0,"Positive",
IF(SUMPRODUCT(--ISNUMBER(SEARCH(TRIM(Keywords!$A$2:$B$14),A322)))&gt;0,"Negative","Neutral")))</f>
        <v>Positive</v>
      </c>
    </row>
    <row r="323" spans="1:3" hidden="1" x14ac:dyDescent="0.25">
      <c r="A323" t="s">
        <v>37</v>
      </c>
      <c r="B323">
        <v>5</v>
      </c>
      <c r="C323" t="str">
        <f>IF(AND(SUMPRODUCT(--ISNUMBER(SEARCH(TRIM(Keywords!$A$2:$A$16),A323)))&gt;0,
        SUMPRODUCT(--ISNUMBER(SEARCH(TRIM(Keywords!$B$2:$B$14),A323)))&gt;0),"Neutral",
IF(SUMPRODUCT(--ISNUMBER(SEARCH(TRIM(Keywords!$A$2:$A$16),A323)))&gt;0,"Positive",
IF(SUMPRODUCT(--ISNUMBER(SEARCH(TRIM(Keywords!$A$2:$B$14),A323)))&gt;0,"Negative","Neutral")))</f>
        <v>Positive</v>
      </c>
    </row>
    <row r="324" spans="1:3" x14ac:dyDescent="0.25">
      <c r="A324" t="s">
        <v>36</v>
      </c>
      <c r="B324">
        <v>4</v>
      </c>
      <c r="C324" t="str">
        <f>IF(AND(SUMPRODUCT(--ISNUMBER(SEARCH(TRIM(Keywords!$A$2:$A$16),A324)))&gt;0,
        SUMPRODUCT(--ISNUMBER(SEARCH(TRIM(Keywords!$B$2:$B$14),A324)))&gt;0),"Neutral",
IF(SUMPRODUCT(--ISNUMBER(SEARCH(TRIM(Keywords!$A$2:$A$16),A324)))&gt;0,"Positive",
IF(SUMPRODUCT(--ISNUMBER(SEARCH(TRIM(Keywords!$A$2:$B$14),A324)))&gt;0,"Negative","Neutral")))</f>
        <v>Neutral</v>
      </c>
    </row>
    <row r="325" spans="1:3" hidden="1" x14ac:dyDescent="0.25">
      <c r="A325" t="s">
        <v>2</v>
      </c>
      <c r="B325">
        <v>5</v>
      </c>
      <c r="C325" t="str">
        <f>IF(AND(SUMPRODUCT(--ISNUMBER(SEARCH(TRIM(Keywords!$A$2:$A$16),A325)))&gt;0,
        SUMPRODUCT(--ISNUMBER(SEARCH(TRIM(Keywords!$B$2:$B$14),A325)))&gt;0),"Neutral",
IF(SUMPRODUCT(--ISNUMBER(SEARCH(TRIM(Keywords!$A$2:$A$16),A325)))&gt;0,"Positive",
IF(SUMPRODUCT(--ISNUMBER(SEARCH(TRIM(Keywords!$A$2:$B$14),A325)))&gt;0,"Negative","Neutral")))</f>
        <v>Positive</v>
      </c>
    </row>
    <row r="326" spans="1:3" hidden="1" x14ac:dyDescent="0.25">
      <c r="A326" t="s">
        <v>2</v>
      </c>
      <c r="B326">
        <v>5</v>
      </c>
      <c r="C326" t="str">
        <f>IF(AND(SUMPRODUCT(--ISNUMBER(SEARCH(TRIM(Keywords!$A$2:$A$16),A326)))&gt;0,
        SUMPRODUCT(--ISNUMBER(SEARCH(TRIM(Keywords!$B$2:$B$14),A326)))&gt;0),"Neutral",
IF(SUMPRODUCT(--ISNUMBER(SEARCH(TRIM(Keywords!$A$2:$A$16),A326)))&gt;0,"Positive",
IF(SUMPRODUCT(--ISNUMBER(SEARCH(TRIM(Keywords!$A$2:$B$14),A326)))&gt;0,"Negative","Neutral")))</f>
        <v>Positive</v>
      </c>
    </row>
    <row r="327" spans="1:3" hidden="1" x14ac:dyDescent="0.25">
      <c r="A327" t="s">
        <v>216</v>
      </c>
      <c r="B327">
        <v>1</v>
      </c>
      <c r="C327" t="str">
        <f>IF(AND(SUMPRODUCT(--ISNUMBER(SEARCH(TRIM(Keywords!$A$2:$A$16),A327)))&gt;0,
        SUMPRODUCT(--ISNUMBER(SEARCH(TRIM(Keywords!$B$2:$B$14),A327)))&gt;0),"Neutral",
IF(SUMPRODUCT(--ISNUMBER(SEARCH(TRIM(Keywords!$A$2:$A$16),A327)))&gt;0,"Positive",
IF(SUMPRODUCT(--ISNUMBER(SEARCH(TRIM(Keywords!$A$2:$B$14),A327)))&gt;0,"Negative","Neutral")))</f>
        <v>Negative</v>
      </c>
    </row>
    <row r="328" spans="1:3" x14ac:dyDescent="0.25">
      <c r="A328" t="s">
        <v>36</v>
      </c>
      <c r="B328">
        <v>3</v>
      </c>
      <c r="C328" t="str">
        <f>IF(AND(SUMPRODUCT(--ISNUMBER(SEARCH(TRIM(Keywords!$A$2:$A$16),A328)))&gt;0,
        SUMPRODUCT(--ISNUMBER(SEARCH(TRIM(Keywords!$B$2:$B$14),A328)))&gt;0),"Neutral",
IF(SUMPRODUCT(--ISNUMBER(SEARCH(TRIM(Keywords!$A$2:$A$16),A328)))&gt;0,"Positive",
IF(SUMPRODUCT(--ISNUMBER(SEARCH(TRIM(Keywords!$A$2:$B$14),A328)))&gt;0,"Negative","Neutral")))</f>
        <v>Neutral</v>
      </c>
    </row>
    <row r="329" spans="1:3" x14ac:dyDescent="0.25">
      <c r="A329" t="s">
        <v>217</v>
      </c>
      <c r="B329">
        <v>5</v>
      </c>
      <c r="C329" t="str">
        <f>IF(AND(SUMPRODUCT(--ISNUMBER(SEARCH(TRIM(Keywords!$A$2:$A$16),A329)))&gt;0,
        SUMPRODUCT(--ISNUMBER(SEARCH(TRIM(Keywords!$B$2:$B$14),A329)))&gt;0),"Neutral",
IF(SUMPRODUCT(--ISNUMBER(SEARCH(TRIM(Keywords!$A$2:$A$16),A329)))&gt;0,"Positive",
IF(SUMPRODUCT(--ISNUMBER(SEARCH(TRIM(Keywords!$A$2:$B$14),A329)))&gt;0,"Negative","Neutral")))</f>
        <v>Neutral</v>
      </c>
    </row>
    <row r="330" spans="1:3" hidden="1" x14ac:dyDescent="0.25">
      <c r="A330" t="s">
        <v>37</v>
      </c>
      <c r="B330">
        <v>5</v>
      </c>
      <c r="C330" t="str">
        <f>IF(AND(SUMPRODUCT(--ISNUMBER(SEARCH(TRIM(Keywords!$A$2:$A$16),A330)))&gt;0,
        SUMPRODUCT(--ISNUMBER(SEARCH(TRIM(Keywords!$B$2:$B$14),A330)))&gt;0),"Neutral",
IF(SUMPRODUCT(--ISNUMBER(SEARCH(TRIM(Keywords!$A$2:$A$16),A330)))&gt;0,"Positive",
IF(SUMPRODUCT(--ISNUMBER(SEARCH(TRIM(Keywords!$A$2:$B$14),A330)))&gt;0,"Negative","Neutral")))</f>
        <v>Positive</v>
      </c>
    </row>
    <row r="331" spans="1:3" x14ac:dyDescent="0.25">
      <c r="A331" t="s">
        <v>218</v>
      </c>
      <c r="B331">
        <v>2</v>
      </c>
      <c r="C331" t="str">
        <f>IF(AND(SUMPRODUCT(--ISNUMBER(SEARCH(TRIM(Keywords!$A$2:$A$16),A331)))&gt;0,
        SUMPRODUCT(--ISNUMBER(SEARCH(TRIM(Keywords!$B$2:$B$14),A331)))&gt;0),"Neutral",
IF(SUMPRODUCT(--ISNUMBER(SEARCH(TRIM(Keywords!$A$2:$A$16),A331)))&gt;0,"Positive",
IF(SUMPRODUCT(--ISNUMBER(SEARCH(TRIM(Keywords!$A$2:$B$14),A331)))&gt;0,"Negative","Neutral")))</f>
        <v>Neutral</v>
      </c>
    </row>
    <row r="332" spans="1:3" hidden="1" x14ac:dyDescent="0.25">
      <c r="A332" t="s">
        <v>219</v>
      </c>
      <c r="B332">
        <v>1</v>
      </c>
      <c r="C332" t="str">
        <f>IF(AND(SUMPRODUCT(--ISNUMBER(SEARCH(TRIM(Keywords!$A$2:$A$16),A332)))&gt;0,
        SUMPRODUCT(--ISNUMBER(SEARCH(TRIM(Keywords!$B$2:$B$14),A332)))&gt;0),"Neutral",
IF(SUMPRODUCT(--ISNUMBER(SEARCH(TRIM(Keywords!$A$2:$A$16),A332)))&gt;0,"Positive",
IF(SUMPRODUCT(--ISNUMBER(SEARCH(TRIM(Keywords!$A$2:$B$14),A332)))&gt;0,"Negative","Neutral")))</f>
        <v>Negative</v>
      </c>
    </row>
    <row r="333" spans="1:3" hidden="1" x14ac:dyDescent="0.25">
      <c r="A333" t="s">
        <v>2</v>
      </c>
      <c r="B333">
        <v>5</v>
      </c>
      <c r="C333" t="str">
        <f>IF(AND(SUMPRODUCT(--ISNUMBER(SEARCH(TRIM(Keywords!$A$2:$A$16),A333)))&gt;0,
        SUMPRODUCT(--ISNUMBER(SEARCH(TRIM(Keywords!$B$2:$B$14),A333)))&gt;0),"Neutral",
IF(SUMPRODUCT(--ISNUMBER(SEARCH(TRIM(Keywords!$A$2:$A$16),A333)))&gt;0,"Positive",
IF(SUMPRODUCT(--ISNUMBER(SEARCH(TRIM(Keywords!$A$2:$B$14),A333)))&gt;0,"Negative","Neutral")))</f>
        <v>Positive</v>
      </c>
    </row>
    <row r="334" spans="1:3" x14ac:dyDescent="0.25">
      <c r="A334" t="s">
        <v>220</v>
      </c>
      <c r="B334">
        <v>2</v>
      </c>
      <c r="C334" t="str">
        <f>IF(AND(SUMPRODUCT(--ISNUMBER(SEARCH(TRIM(Keywords!$A$2:$A$16),A334)))&gt;0,
        SUMPRODUCT(--ISNUMBER(SEARCH(TRIM(Keywords!$B$2:$B$14),A334)))&gt;0),"Neutral",
IF(SUMPRODUCT(--ISNUMBER(SEARCH(TRIM(Keywords!$A$2:$A$16),A334)))&gt;0,"Positive",
IF(SUMPRODUCT(--ISNUMBER(SEARCH(TRIM(Keywords!$A$2:$B$14),A334)))&gt;0,"Negative","Neutral")))</f>
        <v>Neutral</v>
      </c>
    </row>
    <row r="335" spans="1:3" hidden="1" x14ac:dyDescent="0.25">
      <c r="A335" t="s">
        <v>53</v>
      </c>
      <c r="B335">
        <v>4</v>
      </c>
      <c r="C335" t="str">
        <f>IF(AND(SUMPRODUCT(--ISNUMBER(SEARCH(TRIM(Keywords!$A$2:$A$16),A335)))&gt;0,
        SUMPRODUCT(--ISNUMBER(SEARCH(TRIM(Keywords!$B$2:$B$14),A335)))&gt;0),"Neutral",
IF(SUMPRODUCT(--ISNUMBER(SEARCH(TRIM(Keywords!$A$2:$A$16),A335)))&gt;0,"Positive",
IF(SUMPRODUCT(--ISNUMBER(SEARCH(TRIM(Keywords!$A$2:$B$14),A335)))&gt;0,"Negative","Neutral")))</f>
        <v>Positive</v>
      </c>
    </row>
    <row r="336" spans="1:3" hidden="1" x14ac:dyDescent="0.25">
      <c r="A336" t="s">
        <v>2</v>
      </c>
      <c r="B336">
        <v>5</v>
      </c>
      <c r="C336" t="str">
        <f>IF(AND(SUMPRODUCT(--ISNUMBER(SEARCH(TRIM(Keywords!$A$2:$A$16),A336)))&gt;0,
        SUMPRODUCT(--ISNUMBER(SEARCH(TRIM(Keywords!$B$2:$B$14),A336)))&gt;0),"Neutral",
IF(SUMPRODUCT(--ISNUMBER(SEARCH(TRIM(Keywords!$A$2:$A$16),A336)))&gt;0,"Positive",
IF(SUMPRODUCT(--ISNUMBER(SEARCH(TRIM(Keywords!$A$2:$B$14),A336)))&gt;0,"Negative","Neutral")))</f>
        <v>Positive</v>
      </c>
    </row>
    <row r="337" spans="1:3" hidden="1" x14ac:dyDescent="0.25">
      <c r="A337" t="s">
        <v>221</v>
      </c>
      <c r="B337">
        <v>1</v>
      </c>
      <c r="C337" t="str">
        <f>IF(AND(SUMPRODUCT(--ISNUMBER(SEARCH(TRIM(Keywords!$A$2:$A$16),A337)))&gt;0,
        SUMPRODUCT(--ISNUMBER(SEARCH(TRIM(Keywords!$B$2:$B$14),A337)))&gt;0),"Neutral",
IF(SUMPRODUCT(--ISNUMBER(SEARCH(TRIM(Keywords!$A$2:$A$16),A337)))&gt;0,"Positive",
IF(SUMPRODUCT(--ISNUMBER(SEARCH(TRIM(Keywords!$A$2:$B$14),A337)))&gt;0,"Negative","Neutral")))</f>
        <v>Negative</v>
      </c>
    </row>
    <row r="338" spans="1:3" x14ac:dyDescent="0.25">
      <c r="A338" t="s">
        <v>222</v>
      </c>
      <c r="B338">
        <v>3</v>
      </c>
      <c r="C338" t="str">
        <f>IF(AND(SUMPRODUCT(--ISNUMBER(SEARCH(TRIM(Keywords!$A$2:$A$16),A338)))&gt;0,
        SUMPRODUCT(--ISNUMBER(SEARCH(TRIM(Keywords!$B$2:$B$14),A338)))&gt;0),"Neutral",
IF(SUMPRODUCT(--ISNUMBER(SEARCH(TRIM(Keywords!$A$2:$A$16),A338)))&gt;0,"Positive",
IF(SUMPRODUCT(--ISNUMBER(SEARCH(TRIM(Keywords!$A$2:$B$14),A338)))&gt;0,"Negative","Neutral")))</f>
        <v>Neutral</v>
      </c>
    </row>
    <row r="339" spans="1:3" x14ac:dyDescent="0.25">
      <c r="A339" t="s">
        <v>223</v>
      </c>
      <c r="B339">
        <v>2</v>
      </c>
      <c r="C339" t="str">
        <f>IF(AND(SUMPRODUCT(--ISNUMBER(SEARCH(TRIM(Keywords!$A$2:$A$16),A339)))&gt;0,
        SUMPRODUCT(--ISNUMBER(SEARCH(TRIM(Keywords!$B$2:$B$14),A339)))&gt;0),"Neutral",
IF(SUMPRODUCT(--ISNUMBER(SEARCH(TRIM(Keywords!$A$2:$A$16),A339)))&gt;0,"Positive",
IF(SUMPRODUCT(--ISNUMBER(SEARCH(TRIM(Keywords!$A$2:$B$14),A339)))&gt;0,"Negative","Neutral")))</f>
        <v>Neutral</v>
      </c>
    </row>
    <row r="340" spans="1:3" hidden="1" x14ac:dyDescent="0.25">
      <c r="A340" t="s">
        <v>39</v>
      </c>
      <c r="B340">
        <v>5</v>
      </c>
      <c r="C340" t="str">
        <f>IF(AND(SUMPRODUCT(--ISNUMBER(SEARCH(TRIM(Keywords!$A$2:$A$16),A340)))&gt;0,
        SUMPRODUCT(--ISNUMBER(SEARCH(TRIM(Keywords!$B$2:$B$14),A340)))&gt;0),"Neutral",
IF(SUMPRODUCT(--ISNUMBER(SEARCH(TRIM(Keywords!$A$2:$A$16),A340)))&gt;0,"Positive",
IF(SUMPRODUCT(--ISNUMBER(SEARCH(TRIM(Keywords!$A$2:$B$14),A340)))&gt;0,"Negative","Neutral")))</f>
        <v>Positive</v>
      </c>
    </row>
    <row r="341" spans="1:3" hidden="1" x14ac:dyDescent="0.25">
      <c r="A341" t="s">
        <v>38</v>
      </c>
      <c r="B341">
        <v>5</v>
      </c>
      <c r="C341" t="str">
        <f>IF(AND(SUMPRODUCT(--ISNUMBER(SEARCH(TRIM(Keywords!$A$2:$A$16),A341)))&gt;0,
        SUMPRODUCT(--ISNUMBER(SEARCH(TRIM(Keywords!$B$2:$B$14),A341)))&gt;0),"Neutral",
IF(SUMPRODUCT(--ISNUMBER(SEARCH(TRIM(Keywords!$A$2:$A$16),A341)))&gt;0,"Positive",
IF(SUMPRODUCT(--ISNUMBER(SEARCH(TRIM(Keywords!$A$2:$B$14),A341)))&gt;0,"Negative","Neutral")))</f>
        <v>Positive</v>
      </c>
    </row>
    <row r="342" spans="1:3" x14ac:dyDescent="0.25">
      <c r="A342" t="s">
        <v>36</v>
      </c>
      <c r="B342">
        <v>3</v>
      </c>
      <c r="C342" t="str">
        <f>IF(AND(SUMPRODUCT(--ISNUMBER(SEARCH(TRIM(Keywords!$A$2:$A$16),A342)))&gt;0,
        SUMPRODUCT(--ISNUMBER(SEARCH(TRIM(Keywords!$B$2:$B$14),A342)))&gt;0),"Neutral",
IF(SUMPRODUCT(--ISNUMBER(SEARCH(TRIM(Keywords!$A$2:$A$16),A342)))&gt;0,"Positive",
IF(SUMPRODUCT(--ISNUMBER(SEARCH(TRIM(Keywords!$A$2:$B$14),A342)))&gt;0,"Negative","Neutral")))</f>
        <v>Neutral</v>
      </c>
    </row>
    <row r="343" spans="1:3" hidden="1" x14ac:dyDescent="0.25">
      <c r="A343" t="s">
        <v>224</v>
      </c>
      <c r="B343">
        <v>5</v>
      </c>
      <c r="C343" t="str">
        <f>IF(AND(SUMPRODUCT(--ISNUMBER(SEARCH(TRIM(Keywords!$A$2:$A$16),A343)))&gt;0,
        SUMPRODUCT(--ISNUMBER(SEARCH(TRIM(Keywords!$B$2:$B$14),A343)))&gt;0),"Neutral",
IF(SUMPRODUCT(--ISNUMBER(SEARCH(TRIM(Keywords!$A$2:$A$16),A343)))&gt;0,"Positive",
IF(SUMPRODUCT(--ISNUMBER(SEARCH(TRIM(Keywords!$A$2:$B$14),A343)))&gt;0,"Negative","Neutral")))</f>
        <v>Positive</v>
      </c>
    </row>
    <row r="344" spans="1:3" hidden="1" x14ac:dyDescent="0.25">
      <c r="A344" t="s">
        <v>53</v>
      </c>
      <c r="B344">
        <v>5</v>
      </c>
      <c r="C344" t="str">
        <f>IF(AND(SUMPRODUCT(--ISNUMBER(SEARCH(TRIM(Keywords!$A$2:$A$16),A344)))&gt;0,
        SUMPRODUCT(--ISNUMBER(SEARCH(TRIM(Keywords!$B$2:$B$14),A344)))&gt;0),"Neutral",
IF(SUMPRODUCT(--ISNUMBER(SEARCH(TRIM(Keywords!$A$2:$A$16),A344)))&gt;0,"Positive",
IF(SUMPRODUCT(--ISNUMBER(SEARCH(TRIM(Keywords!$A$2:$B$14),A344)))&gt;0,"Negative","Neutral")))</f>
        <v>Positive</v>
      </c>
    </row>
    <row r="345" spans="1:3" x14ac:dyDescent="0.25">
      <c r="A345" t="s">
        <v>225</v>
      </c>
      <c r="B345">
        <v>3</v>
      </c>
      <c r="C345" t="str">
        <f>IF(AND(SUMPRODUCT(--ISNUMBER(SEARCH(TRIM(Keywords!$A$2:$A$16),A345)))&gt;0,
        SUMPRODUCT(--ISNUMBER(SEARCH(TRIM(Keywords!$B$2:$B$14),A345)))&gt;0),"Neutral",
IF(SUMPRODUCT(--ISNUMBER(SEARCH(TRIM(Keywords!$A$2:$A$16),A345)))&gt;0,"Positive",
IF(SUMPRODUCT(--ISNUMBER(SEARCH(TRIM(Keywords!$A$2:$B$14),A345)))&gt;0,"Negative","Neutral")))</f>
        <v>Neutral</v>
      </c>
    </row>
    <row r="346" spans="1:3" hidden="1" x14ac:dyDescent="0.25">
      <c r="A346" t="s">
        <v>2</v>
      </c>
      <c r="B346">
        <v>5</v>
      </c>
      <c r="C346" t="str">
        <f>IF(AND(SUMPRODUCT(--ISNUMBER(SEARCH(TRIM(Keywords!$A$2:$A$16),A346)))&gt;0,
        SUMPRODUCT(--ISNUMBER(SEARCH(TRIM(Keywords!$B$2:$B$14),A346)))&gt;0),"Neutral",
IF(SUMPRODUCT(--ISNUMBER(SEARCH(TRIM(Keywords!$A$2:$A$16),A346)))&gt;0,"Positive",
IF(SUMPRODUCT(--ISNUMBER(SEARCH(TRIM(Keywords!$A$2:$B$14),A346)))&gt;0,"Negative","Neutral")))</f>
        <v>Positive</v>
      </c>
    </row>
    <row r="347" spans="1:3" hidden="1" x14ac:dyDescent="0.25">
      <c r="A347" t="s">
        <v>226</v>
      </c>
      <c r="B347">
        <v>5</v>
      </c>
      <c r="C347" t="str">
        <f>IF(AND(SUMPRODUCT(--ISNUMBER(SEARCH(TRIM(Keywords!$A$2:$A$16),A347)))&gt;0,
        SUMPRODUCT(--ISNUMBER(SEARCH(TRIM(Keywords!$B$2:$B$14),A347)))&gt;0),"Neutral",
IF(SUMPRODUCT(--ISNUMBER(SEARCH(TRIM(Keywords!$A$2:$A$16),A347)))&gt;0,"Positive",
IF(SUMPRODUCT(--ISNUMBER(SEARCH(TRIM(Keywords!$A$2:$B$14),A347)))&gt;0,"Negative","Neutral")))</f>
        <v>Positive</v>
      </c>
    </row>
    <row r="348" spans="1:3" hidden="1" x14ac:dyDescent="0.25">
      <c r="A348" t="s">
        <v>227</v>
      </c>
      <c r="B348">
        <v>1</v>
      </c>
      <c r="C348" t="str">
        <f>IF(AND(SUMPRODUCT(--ISNUMBER(SEARCH(TRIM(Keywords!$A$2:$A$16),A348)))&gt;0,
        SUMPRODUCT(--ISNUMBER(SEARCH(TRIM(Keywords!$B$2:$B$14),A348)))&gt;0),"Neutral",
IF(SUMPRODUCT(--ISNUMBER(SEARCH(TRIM(Keywords!$A$2:$A$16),A348)))&gt;0,"Positive",
IF(SUMPRODUCT(--ISNUMBER(SEARCH(TRIM(Keywords!$A$2:$B$14),A348)))&gt;0,"Negative","Neutral")))</f>
        <v>Negative</v>
      </c>
    </row>
    <row r="349" spans="1:3" hidden="1" x14ac:dyDescent="0.25">
      <c r="A349" t="s">
        <v>228</v>
      </c>
      <c r="B349">
        <v>5</v>
      </c>
      <c r="C349" t="str">
        <f>IF(AND(SUMPRODUCT(--ISNUMBER(SEARCH(TRIM(Keywords!$A$2:$A$16),A349)))&gt;0,
        SUMPRODUCT(--ISNUMBER(SEARCH(TRIM(Keywords!$B$2:$B$14),A349)))&gt;0),"Neutral",
IF(SUMPRODUCT(--ISNUMBER(SEARCH(TRIM(Keywords!$A$2:$A$16),A349)))&gt;0,"Positive",
IF(SUMPRODUCT(--ISNUMBER(SEARCH(TRIM(Keywords!$A$2:$B$14),A349)))&gt;0,"Negative","Neutral")))</f>
        <v>Positive</v>
      </c>
    </row>
    <row r="350" spans="1:3" hidden="1" x14ac:dyDescent="0.25">
      <c r="A350" t="s">
        <v>2</v>
      </c>
      <c r="B350">
        <v>5</v>
      </c>
      <c r="C350" t="str">
        <f>IF(AND(SUMPRODUCT(--ISNUMBER(SEARCH(TRIM(Keywords!$A$2:$A$16),A350)))&gt;0,
        SUMPRODUCT(--ISNUMBER(SEARCH(TRIM(Keywords!$B$2:$B$14),A350)))&gt;0),"Neutral",
IF(SUMPRODUCT(--ISNUMBER(SEARCH(TRIM(Keywords!$A$2:$A$16),A350)))&gt;0,"Positive",
IF(SUMPRODUCT(--ISNUMBER(SEARCH(TRIM(Keywords!$A$2:$B$14),A350)))&gt;0,"Negative","Neutral")))</f>
        <v>Positive</v>
      </c>
    </row>
    <row r="351" spans="1:3" x14ac:dyDescent="0.25">
      <c r="A351" t="s">
        <v>229</v>
      </c>
      <c r="B351">
        <v>2</v>
      </c>
      <c r="C351" t="str">
        <f>IF(AND(SUMPRODUCT(--ISNUMBER(SEARCH(TRIM(Keywords!$A$2:$A$16),A351)))&gt;0,
        SUMPRODUCT(--ISNUMBER(SEARCH(TRIM(Keywords!$B$2:$B$14),A351)))&gt;0),"Neutral",
IF(SUMPRODUCT(--ISNUMBER(SEARCH(TRIM(Keywords!$A$2:$A$16),A351)))&gt;0,"Positive",
IF(SUMPRODUCT(--ISNUMBER(SEARCH(TRIM(Keywords!$A$2:$B$14),A351)))&gt;0,"Negative","Neutral")))</f>
        <v>Neutral</v>
      </c>
    </row>
    <row r="352" spans="1:3" hidden="1" x14ac:dyDescent="0.25">
      <c r="A352" t="s">
        <v>230</v>
      </c>
      <c r="B352">
        <v>5</v>
      </c>
      <c r="C352" t="str">
        <f>IF(AND(SUMPRODUCT(--ISNUMBER(SEARCH(TRIM(Keywords!$A$2:$A$16),A352)))&gt;0,
        SUMPRODUCT(--ISNUMBER(SEARCH(TRIM(Keywords!$B$2:$B$14),A352)))&gt;0),"Neutral",
IF(SUMPRODUCT(--ISNUMBER(SEARCH(TRIM(Keywords!$A$2:$A$16),A352)))&gt;0,"Positive",
IF(SUMPRODUCT(--ISNUMBER(SEARCH(TRIM(Keywords!$A$2:$B$14),A352)))&gt;0,"Negative","Neutral")))</f>
        <v>Positive</v>
      </c>
    </row>
    <row r="353" spans="1:3" hidden="1" x14ac:dyDescent="0.25">
      <c r="A353" t="s">
        <v>12</v>
      </c>
      <c r="B353">
        <v>5</v>
      </c>
      <c r="C353" t="str">
        <f>IF(AND(SUMPRODUCT(--ISNUMBER(SEARCH(TRIM(Keywords!$A$2:$A$16),A353)))&gt;0,
        SUMPRODUCT(--ISNUMBER(SEARCH(TRIM(Keywords!$B$2:$B$14),A353)))&gt;0),"Neutral",
IF(SUMPRODUCT(--ISNUMBER(SEARCH(TRIM(Keywords!$A$2:$A$16),A353)))&gt;0,"Positive",
IF(SUMPRODUCT(--ISNUMBER(SEARCH(TRIM(Keywords!$A$2:$B$14),A353)))&gt;0,"Negative","Neutral")))</f>
        <v>Positive</v>
      </c>
    </row>
    <row r="354" spans="1:3" hidden="1" x14ac:dyDescent="0.25">
      <c r="A354" t="s">
        <v>231</v>
      </c>
      <c r="B354">
        <v>5</v>
      </c>
      <c r="C354" t="str">
        <f>IF(AND(SUMPRODUCT(--ISNUMBER(SEARCH(TRIM(Keywords!$A$2:$A$16),A354)))&gt;0,
        SUMPRODUCT(--ISNUMBER(SEARCH(TRIM(Keywords!$B$2:$B$14),A354)))&gt;0),"Neutral",
IF(SUMPRODUCT(--ISNUMBER(SEARCH(TRIM(Keywords!$A$2:$A$16),A354)))&gt;0,"Positive",
IF(SUMPRODUCT(--ISNUMBER(SEARCH(TRIM(Keywords!$A$2:$B$14),A354)))&gt;0,"Negative","Neutral")))</f>
        <v>Negative</v>
      </c>
    </row>
    <row r="355" spans="1:3" hidden="1" x14ac:dyDescent="0.25">
      <c r="A355" t="s">
        <v>232</v>
      </c>
      <c r="B355">
        <v>4</v>
      </c>
      <c r="C355" t="str">
        <f>IF(AND(SUMPRODUCT(--ISNUMBER(SEARCH(TRIM(Keywords!$A$2:$A$16),A355)))&gt;0,
        SUMPRODUCT(--ISNUMBER(SEARCH(TRIM(Keywords!$B$2:$B$14),A355)))&gt;0),"Neutral",
IF(SUMPRODUCT(--ISNUMBER(SEARCH(TRIM(Keywords!$A$2:$A$16),A355)))&gt;0,"Positive",
IF(SUMPRODUCT(--ISNUMBER(SEARCH(TRIM(Keywords!$A$2:$B$14),A355)))&gt;0,"Negative","Neutral")))</f>
        <v>Positive</v>
      </c>
    </row>
    <row r="356" spans="1:3" hidden="1" x14ac:dyDescent="0.25">
      <c r="A356" t="s">
        <v>233</v>
      </c>
      <c r="B356">
        <v>4</v>
      </c>
      <c r="C356" t="str">
        <f>IF(AND(SUMPRODUCT(--ISNUMBER(SEARCH(TRIM(Keywords!$A$2:$A$16),A356)))&gt;0,
        SUMPRODUCT(--ISNUMBER(SEARCH(TRIM(Keywords!$B$2:$B$14),A356)))&gt;0),"Neutral",
IF(SUMPRODUCT(--ISNUMBER(SEARCH(TRIM(Keywords!$A$2:$A$16),A356)))&gt;0,"Positive",
IF(SUMPRODUCT(--ISNUMBER(SEARCH(TRIM(Keywords!$A$2:$B$14),A356)))&gt;0,"Negative","Neutral")))</f>
        <v>Positive</v>
      </c>
    </row>
    <row r="357" spans="1:3" hidden="1" x14ac:dyDescent="0.25">
      <c r="A357" t="s">
        <v>2</v>
      </c>
      <c r="B357">
        <v>5</v>
      </c>
      <c r="C357" t="str">
        <f>IF(AND(SUMPRODUCT(--ISNUMBER(SEARCH(TRIM(Keywords!$A$2:$A$16),A357)))&gt;0,
        SUMPRODUCT(--ISNUMBER(SEARCH(TRIM(Keywords!$B$2:$B$14),A357)))&gt;0),"Neutral",
IF(SUMPRODUCT(--ISNUMBER(SEARCH(TRIM(Keywords!$A$2:$A$16),A357)))&gt;0,"Positive",
IF(SUMPRODUCT(--ISNUMBER(SEARCH(TRIM(Keywords!$A$2:$B$14),A357)))&gt;0,"Negative","Neutral")))</f>
        <v>Positive</v>
      </c>
    </row>
    <row r="358" spans="1:3" hidden="1" x14ac:dyDescent="0.25">
      <c r="A358" t="s">
        <v>2</v>
      </c>
      <c r="B358">
        <v>5</v>
      </c>
      <c r="C358" t="str">
        <f>IF(AND(SUMPRODUCT(--ISNUMBER(SEARCH(TRIM(Keywords!$A$2:$A$16),A358)))&gt;0,
        SUMPRODUCT(--ISNUMBER(SEARCH(TRIM(Keywords!$B$2:$B$14),A358)))&gt;0),"Neutral",
IF(SUMPRODUCT(--ISNUMBER(SEARCH(TRIM(Keywords!$A$2:$A$16),A358)))&gt;0,"Positive",
IF(SUMPRODUCT(--ISNUMBER(SEARCH(TRIM(Keywords!$A$2:$B$14),A358)))&gt;0,"Negative","Neutral")))</f>
        <v>Positive</v>
      </c>
    </row>
    <row r="359" spans="1:3" x14ac:dyDescent="0.25">
      <c r="A359" t="s">
        <v>234</v>
      </c>
      <c r="B359">
        <v>3</v>
      </c>
      <c r="C359" t="str">
        <f>IF(AND(SUMPRODUCT(--ISNUMBER(SEARCH(TRIM(Keywords!$A$2:$A$16),A359)))&gt;0,
        SUMPRODUCT(--ISNUMBER(SEARCH(TRIM(Keywords!$B$2:$B$14),A359)))&gt;0),"Neutral",
IF(SUMPRODUCT(--ISNUMBER(SEARCH(TRIM(Keywords!$A$2:$A$16),A359)))&gt;0,"Positive",
IF(SUMPRODUCT(--ISNUMBER(SEARCH(TRIM(Keywords!$A$2:$B$14),A359)))&gt;0,"Negative","Neutral")))</f>
        <v>Neutral</v>
      </c>
    </row>
    <row r="360" spans="1:3" hidden="1" x14ac:dyDescent="0.25">
      <c r="A360" t="s">
        <v>235</v>
      </c>
      <c r="B360">
        <v>5</v>
      </c>
      <c r="C360" t="str">
        <f>IF(AND(SUMPRODUCT(--ISNUMBER(SEARCH(TRIM(Keywords!$A$2:$A$16),A360)))&gt;0,
        SUMPRODUCT(--ISNUMBER(SEARCH(TRIM(Keywords!$B$2:$B$14),A360)))&gt;0),"Neutral",
IF(SUMPRODUCT(--ISNUMBER(SEARCH(TRIM(Keywords!$A$2:$A$16),A360)))&gt;0,"Positive",
IF(SUMPRODUCT(--ISNUMBER(SEARCH(TRIM(Keywords!$A$2:$B$14),A360)))&gt;0,"Negative","Neutral")))</f>
        <v>Positive</v>
      </c>
    </row>
    <row r="361" spans="1:3" hidden="1" x14ac:dyDescent="0.25">
      <c r="A361" t="s">
        <v>236</v>
      </c>
      <c r="B361">
        <v>5</v>
      </c>
      <c r="C361" t="str">
        <f>IF(AND(SUMPRODUCT(--ISNUMBER(SEARCH(TRIM(Keywords!$A$2:$A$16),A361)))&gt;0,
        SUMPRODUCT(--ISNUMBER(SEARCH(TRIM(Keywords!$B$2:$B$14),A361)))&gt;0),"Neutral",
IF(SUMPRODUCT(--ISNUMBER(SEARCH(TRIM(Keywords!$A$2:$A$16),A361)))&gt;0,"Positive",
IF(SUMPRODUCT(--ISNUMBER(SEARCH(TRIM(Keywords!$A$2:$B$14),A361)))&gt;0,"Negative","Neutral")))</f>
        <v>Positive</v>
      </c>
    </row>
    <row r="362" spans="1:3" x14ac:dyDescent="0.25">
      <c r="A362" t="s">
        <v>36</v>
      </c>
      <c r="B362">
        <v>1</v>
      </c>
      <c r="C362" t="str">
        <f>IF(AND(SUMPRODUCT(--ISNUMBER(SEARCH(TRIM(Keywords!$A$2:$A$16),A362)))&gt;0,
        SUMPRODUCT(--ISNUMBER(SEARCH(TRIM(Keywords!$B$2:$B$14),A362)))&gt;0),"Neutral",
IF(SUMPRODUCT(--ISNUMBER(SEARCH(TRIM(Keywords!$A$2:$A$16),A362)))&gt;0,"Positive",
IF(SUMPRODUCT(--ISNUMBER(SEARCH(TRIM(Keywords!$A$2:$B$14),A362)))&gt;0,"Negative","Neutral")))</f>
        <v>Neutral</v>
      </c>
    </row>
    <row r="363" spans="1:3" hidden="1" x14ac:dyDescent="0.25">
      <c r="A363" t="s">
        <v>237</v>
      </c>
      <c r="B363">
        <v>1</v>
      </c>
      <c r="C363" t="str">
        <f>IF(AND(SUMPRODUCT(--ISNUMBER(SEARCH(TRIM(Keywords!$A$2:$A$16),A363)))&gt;0,
        SUMPRODUCT(--ISNUMBER(SEARCH(TRIM(Keywords!$B$2:$B$14),A363)))&gt;0),"Neutral",
IF(SUMPRODUCT(--ISNUMBER(SEARCH(TRIM(Keywords!$A$2:$A$16),A363)))&gt;0,"Positive",
IF(SUMPRODUCT(--ISNUMBER(SEARCH(TRIM(Keywords!$A$2:$B$14),A363)))&gt;0,"Negative","Neutral")))</f>
        <v>Positive</v>
      </c>
    </row>
    <row r="364" spans="1:3" hidden="1" x14ac:dyDescent="0.25">
      <c r="A364" t="s">
        <v>2</v>
      </c>
      <c r="B364">
        <v>5</v>
      </c>
      <c r="C364" t="str">
        <f>IF(AND(SUMPRODUCT(--ISNUMBER(SEARCH(TRIM(Keywords!$A$2:$A$16),A364)))&gt;0,
        SUMPRODUCT(--ISNUMBER(SEARCH(TRIM(Keywords!$B$2:$B$14),A364)))&gt;0),"Neutral",
IF(SUMPRODUCT(--ISNUMBER(SEARCH(TRIM(Keywords!$A$2:$A$16),A364)))&gt;0,"Positive",
IF(SUMPRODUCT(--ISNUMBER(SEARCH(TRIM(Keywords!$A$2:$B$14),A364)))&gt;0,"Negative","Neutral")))</f>
        <v>Positive</v>
      </c>
    </row>
    <row r="365" spans="1:3" hidden="1" x14ac:dyDescent="0.25">
      <c r="A365" t="s">
        <v>2</v>
      </c>
      <c r="B365">
        <v>5</v>
      </c>
      <c r="C365" t="str">
        <f>IF(AND(SUMPRODUCT(--ISNUMBER(SEARCH(TRIM(Keywords!$A$2:$A$16),A365)))&gt;0,
        SUMPRODUCT(--ISNUMBER(SEARCH(TRIM(Keywords!$B$2:$B$14),A365)))&gt;0),"Neutral",
IF(SUMPRODUCT(--ISNUMBER(SEARCH(TRIM(Keywords!$A$2:$A$16),A365)))&gt;0,"Positive",
IF(SUMPRODUCT(--ISNUMBER(SEARCH(TRIM(Keywords!$A$2:$B$14),A365)))&gt;0,"Negative","Neutral")))</f>
        <v>Positive</v>
      </c>
    </row>
    <row r="366" spans="1:3" hidden="1" x14ac:dyDescent="0.25">
      <c r="A366" t="s">
        <v>37</v>
      </c>
      <c r="B366">
        <v>4</v>
      </c>
      <c r="C366" t="str">
        <f>IF(AND(SUMPRODUCT(--ISNUMBER(SEARCH(TRIM(Keywords!$A$2:$A$16),A366)))&gt;0,
        SUMPRODUCT(--ISNUMBER(SEARCH(TRIM(Keywords!$B$2:$B$14),A366)))&gt;0),"Neutral",
IF(SUMPRODUCT(--ISNUMBER(SEARCH(TRIM(Keywords!$A$2:$A$16),A366)))&gt;0,"Positive",
IF(SUMPRODUCT(--ISNUMBER(SEARCH(TRIM(Keywords!$A$2:$B$14),A366)))&gt;0,"Negative","Neutral")))</f>
        <v>Positive</v>
      </c>
    </row>
    <row r="367" spans="1:3" hidden="1" x14ac:dyDescent="0.25">
      <c r="A367" t="s">
        <v>37</v>
      </c>
      <c r="B367">
        <v>5</v>
      </c>
      <c r="C367" t="str">
        <f>IF(AND(SUMPRODUCT(--ISNUMBER(SEARCH(TRIM(Keywords!$A$2:$A$16),A367)))&gt;0,
        SUMPRODUCT(--ISNUMBER(SEARCH(TRIM(Keywords!$B$2:$B$14),A367)))&gt;0),"Neutral",
IF(SUMPRODUCT(--ISNUMBER(SEARCH(TRIM(Keywords!$A$2:$A$16),A367)))&gt;0,"Positive",
IF(SUMPRODUCT(--ISNUMBER(SEARCH(TRIM(Keywords!$A$2:$B$14),A367)))&gt;0,"Negative","Neutral")))</f>
        <v>Positive</v>
      </c>
    </row>
    <row r="368" spans="1:3" hidden="1" x14ac:dyDescent="0.25">
      <c r="A368" t="s">
        <v>2</v>
      </c>
      <c r="B368">
        <v>5</v>
      </c>
      <c r="C368" t="str">
        <f>IF(AND(SUMPRODUCT(--ISNUMBER(SEARCH(TRIM(Keywords!$A$2:$A$16),A368)))&gt;0,
        SUMPRODUCT(--ISNUMBER(SEARCH(TRIM(Keywords!$B$2:$B$14),A368)))&gt;0),"Neutral",
IF(SUMPRODUCT(--ISNUMBER(SEARCH(TRIM(Keywords!$A$2:$A$16),A368)))&gt;0,"Positive",
IF(SUMPRODUCT(--ISNUMBER(SEARCH(TRIM(Keywords!$A$2:$B$14),A368)))&gt;0,"Negative","Neutral")))</f>
        <v>Positive</v>
      </c>
    </row>
    <row r="369" spans="1:3" hidden="1" x14ac:dyDescent="0.25">
      <c r="A369" t="s">
        <v>2</v>
      </c>
      <c r="B369">
        <v>5</v>
      </c>
      <c r="C369" t="str">
        <f>IF(AND(SUMPRODUCT(--ISNUMBER(SEARCH(TRIM(Keywords!$A$2:$A$16),A369)))&gt;0,
        SUMPRODUCT(--ISNUMBER(SEARCH(TRIM(Keywords!$B$2:$B$14),A369)))&gt;0),"Neutral",
IF(SUMPRODUCT(--ISNUMBER(SEARCH(TRIM(Keywords!$A$2:$A$16),A369)))&gt;0,"Positive",
IF(SUMPRODUCT(--ISNUMBER(SEARCH(TRIM(Keywords!$A$2:$B$14),A369)))&gt;0,"Negative","Neutral")))</f>
        <v>Positive</v>
      </c>
    </row>
    <row r="370" spans="1:3" x14ac:dyDescent="0.25">
      <c r="A370" t="s">
        <v>238</v>
      </c>
      <c r="B370">
        <v>3</v>
      </c>
      <c r="C370" t="str">
        <f>IF(AND(SUMPRODUCT(--ISNUMBER(SEARCH(TRIM(Keywords!$A$2:$A$16),A370)))&gt;0,
        SUMPRODUCT(--ISNUMBER(SEARCH(TRIM(Keywords!$B$2:$B$14),A370)))&gt;0),"Neutral",
IF(SUMPRODUCT(--ISNUMBER(SEARCH(TRIM(Keywords!$A$2:$A$16),A370)))&gt;0,"Positive",
IF(SUMPRODUCT(--ISNUMBER(SEARCH(TRIM(Keywords!$A$2:$B$14),A370)))&gt;0,"Negative","Neutral")))</f>
        <v>Neutral</v>
      </c>
    </row>
    <row r="371" spans="1:3" x14ac:dyDescent="0.25">
      <c r="A371" t="s">
        <v>239</v>
      </c>
      <c r="B371">
        <v>3</v>
      </c>
      <c r="C371" t="str">
        <f>IF(AND(SUMPRODUCT(--ISNUMBER(SEARCH(TRIM(Keywords!$A$2:$A$16),A371)))&gt;0,
        SUMPRODUCT(--ISNUMBER(SEARCH(TRIM(Keywords!$B$2:$B$14),A371)))&gt;0),"Neutral",
IF(SUMPRODUCT(--ISNUMBER(SEARCH(TRIM(Keywords!$A$2:$A$16),A371)))&gt;0,"Positive",
IF(SUMPRODUCT(--ISNUMBER(SEARCH(TRIM(Keywords!$A$2:$B$14),A371)))&gt;0,"Negative","Neutral")))</f>
        <v>Neutral</v>
      </c>
    </row>
    <row r="372" spans="1:3" hidden="1" x14ac:dyDescent="0.25">
      <c r="A372" t="s">
        <v>240</v>
      </c>
      <c r="B372">
        <v>5</v>
      </c>
      <c r="C372" t="str">
        <f>IF(AND(SUMPRODUCT(--ISNUMBER(SEARCH(TRIM(Keywords!$A$2:$A$16),A372)))&gt;0,
        SUMPRODUCT(--ISNUMBER(SEARCH(TRIM(Keywords!$B$2:$B$14),A372)))&gt;0),"Neutral",
IF(SUMPRODUCT(--ISNUMBER(SEARCH(TRIM(Keywords!$A$2:$A$16),A372)))&gt;0,"Positive",
IF(SUMPRODUCT(--ISNUMBER(SEARCH(TRIM(Keywords!$A$2:$B$14),A372)))&gt;0,"Negative","Neutral")))</f>
        <v>Positive</v>
      </c>
    </row>
    <row r="373" spans="1:3" x14ac:dyDescent="0.25">
      <c r="A373" t="s">
        <v>241</v>
      </c>
      <c r="B373">
        <v>1</v>
      </c>
      <c r="C373" t="str">
        <f>IF(AND(SUMPRODUCT(--ISNUMBER(SEARCH(TRIM(Keywords!$A$2:$A$16),A373)))&gt;0,
        SUMPRODUCT(--ISNUMBER(SEARCH(TRIM(Keywords!$B$2:$B$14),A373)))&gt;0),"Neutral",
IF(SUMPRODUCT(--ISNUMBER(SEARCH(TRIM(Keywords!$A$2:$A$16),A373)))&gt;0,"Positive",
IF(SUMPRODUCT(--ISNUMBER(SEARCH(TRIM(Keywords!$A$2:$B$14),A373)))&gt;0,"Negative","Neutral")))</f>
        <v>Neutral</v>
      </c>
    </row>
    <row r="374" spans="1:3" hidden="1" x14ac:dyDescent="0.25">
      <c r="A374" t="s">
        <v>2</v>
      </c>
      <c r="B374">
        <v>5</v>
      </c>
      <c r="C374" t="str">
        <f>IF(AND(SUMPRODUCT(--ISNUMBER(SEARCH(TRIM(Keywords!$A$2:$A$16),A374)))&gt;0,
        SUMPRODUCT(--ISNUMBER(SEARCH(TRIM(Keywords!$B$2:$B$14),A374)))&gt;0),"Neutral",
IF(SUMPRODUCT(--ISNUMBER(SEARCH(TRIM(Keywords!$A$2:$A$16),A374)))&gt;0,"Positive",
IF(SUMPRODUCT(--ISNUMBER(SEARCH(TRIM(Keywords!$A$2:$B$14),A374)))&gt;0,"Negative","Neutral")))</f>
        <v>Positive</v>
      </c>
    </row>
    <row r="375" spans="1:3" x14ac:dyDescent="0.25">
      <c r="A375" t="s">
        <v>242</v>
      </c>
      <c r="B375">
        <v>3</v>
      </c>
      <c r="C375" t="str">
        <f>IF(AND(SUMPRODUCT(--ISNUMBER(SEARCH(TRIM(Keywords!$A$2:$A$16),A375)))&gt;0,
        SUMPRODUCT(--ISNUMBER(SEARCH(TRIM(Keywords!$B$2:$B$14),A375)))&gt;0),"Neutral",
IF(SUMPRODUCT(--ISNUMBER(SEARCH(TRIM(Keywords!$A$2:$A$16),A375)))&gt;0,"Positive",
IF(SUMPRODUCT(--ISNUMBER(SEARCH(TRIM(Keywords!$A$2:$B$14),A375)))&gt;0,"Negative","Neutral")))</f>
        <v>Neutral</v>
      </c>
    </row>
    <row r="376" spans="1:3" hidden="1" x14ac:dyDescent="0.25">
      <c r="A376" t="s">
        <v>243</v>
      </c>
      <c r="B376">
        <v>5</v>
      </c>
      <c r="C376" t="str">
        <f>IF(AND(SUMPRODUCT(--ISNUMBER(SEARCH(TRIM(Keywords!$A$2:$A$16),A376)))&gt;0,
        SUMPRODUCT(--ISNUMBER(SEARCH(TRIM(Keywords!$B$2:$B$14),A376)))&gt;0),"Neutral",
IF(SUMPRODUCT(--ISNUMBER(SEARCH(TRIM(Keywords!$A$2:$A$16),A376)))&gt;0,"Positive",
IF(SUMPRODUCT(--ISNUMBER(SEARCH(TRIM(Keywords!$A$2:$B$14),A376)))&gt;0,"Negative","Neutral")))</f>
        <v>Positive</v>
      </c>
    </row>
    <row r="377" spans="1:3" x14ac:dyDescent="0.25">
      <c r="A377" t="s">
        <v>244</v>
      </c>
      <c r="B377">
        <v>1</v>
      </c>
      <c r="C377" t="str">
        <f>IF(AND(SUMPRODUCT(--ISNUMBER(SEARCH(TRIM(Keywords!$A$2:$A$16),A377)))&gt;0,
        SUMPRODUCT(--ISNUMBER(SEARCH(TRIM(Keywords!$B$2:$B$14),A377)))&gt;0),"Neutral",
IF(SUMPRODUCT(--ISNUMBER(SEARCH(TRIM(Keywords!$A$2:$A$16),A377)))&gt;0,"Positive",
IF(SUMPRODUCT(--ISNUMBER(SEARCH(TRIM(Keywords!$A$2:$B$14),A377)))&gt;0,"Negative","Neutral")))</f>
        <v>Neutral</v>
      </c>
    </row>
    <row r="378" spans="1:3" x14ac:dyDescent="0.25">
      <c r="A378" t="s">
        <v>36</v>
      </c>
      <c r="B378">
        <v>3</v>
      </c>
      <c r="C378" t="str">
        <f>IF(AND(SUMPRODUCT(--ISNUMBER(SEARCH(TRIM(Keywords!$A$2:$A$16),A378)))&gt;0,
        SUMPRODUCT(--ISNUMBER(SEARCH(TRIM(Keywords!$B$2:$B$14),A378)))&gt;0),"Neutral",
IF(SUMPRODUCT(--ISNUMBER(SEARCH(TRIM(Keywords!$A$2:$A$16),A378)))&gt;0,"Positive",
IF(SUMPRODUCT(--ISNUMBER(SEARCH(TRIM(Keywords!$A$2:$B$14),A378)))&gt;0,"Negative","Neutral")))</f>
        <v>Neutral</v>
      </c>
    </row>
    <row r="379" spans="1:3" hidden="1" x14ac:dyDescent="0.25">
      <c r="A379" t="s">
        <v>245</v>
      </c>
      <c r="B379">
        <v>3</v>
      </c>
      <c r="C379" t="str">
        <f>IF(AND(SUMPRODUCT(--ISNUMBER(SEARCH(TRIM(Keywords!$A$2:$A$16),A379)))&gt;0,
        SUMPRODUCT(--ISNUMBER(SEARCH(TRIM(Keywords!$B$2:$B$14),A379)))&gt;0),"Neutral",
IF(SUMPRODUCT(--ISNUMBER(SEARCH(TRIM(Keywords!$A$2:$A$16),A379)))&gt;0,"Positive",
IF(SUMPRODUCT(--ISNUMBER(SEARCH(TRIM(Keywords!$A$2:$B$14),A379)))&gt;0,"Negative","Neutral")))</f>
        <v>Negative</v>
      </c>
    </row>
    <row r="380" spans="1:3" x14ac:dyDescent="0.25">
      <c r="A380" t="s">
        <v>246</v>
      </c>
      <c r="B380">
        <v>1</v>
      </c>
      <c r="C380" t="str">
        <f>IF(AND(SUMPRODUCT(--ISNUMBER(SEARCH(TRIM(Keywords!$A$2:$A$16),A380)))&gt;0,
        SUMPRODUCT(--ISNUMBER(SEARCH(TRIM(Keywords!$B$2:$B$14),A380)))&gt;0),"Neutral",
IF(SUMPRODUCT(--ISNUMBER(SEARCH(TRIM(Keywords!$A$2:$A$16),A380)))&gt;0,"Positive",
IF(SUMPRODUCT(--ISNUMBER(SEARCH(TRIM(Keywords!$A$2:$B$14),A380)))&gt;0,"Negative","Neutral")))</f>
        <v>Neutral</v>
      </c>
    </row>
    <row r="381" spans="1:3" hidden="1" x14ac:dyDescent="0.25">
      <c r="A381" t="s">
        <v>247</v>
      </c>
      <c r="B381">
        <v>5</v>
      </c>
      <c r="C381" t="str">
        <f>IF(AND(SUMPRODUCT(--ISNUMBER(SEARCH(TRIM(Keywords!$A$2:$A$16),A381)))&gt;0,
        SUMPRODUCT(--ISNUMBER(SEARCH(TRIM(Keywords!$B$2:$B$14),A381)))&gt;0),"Neutral",
IF(SUMPRODUCT(--ISNUMBER(SEARCH(TRIM(Keywords!$A$2:$A$16),A381)))&gt;0,"Positive",
IF(SUMPRODUCT(--ISNUMBER(SEARCH(TRIM(Keywords!$A$2:$B$14),A381)))&gt;0,"Negative","Neutral")))</f>
        <v>Positive</v>
      </c>
    </row>
    <row r="382" spans="1:3" hidden="1" x14ac:dyDescent="0.25">
      <c r="A382" t="s">
        <v>248</v>
      </c>
      <c r="B382">
        <v>5</v>
      </c>
      <c r="C382" t="str">
        <f>IF(AND(SUMPRODUCT(--ISNUMBER(SEARCH(TRIM(Keywords!$A$2:$A$16),A382)))&gt;0,
        SUMPRODUCT(--ISNUMBER(SEARCH(TRIM(Keywords!$B$2:$B$14),A382)))&gt;0),"Neutral",
IF(SUMPRODUCT(--ISNUMBER(SEARCH(TRIM(Keywords!$A$2:$A$16),A382)))&gt;0,"Positive",
IF(SUMPRODUCT(--ISNUMBER(SEARCH(TRIM(Keywords!$A$2:$B$14),A382)))&gt;0,"Negative","Neutral")))</f>
        <v>Positive</v>
      </c>
    </row>
    <row r="383" spans="1:3" hidden="1" x14ac:dyDescent="0.25">
      <c r="A383" t="s">
        <v>50</v>
      </c>
      <c r="B383">
        <v>5</v>
      </c>
      <c r="C383" t="str">
        <f>IF(AND(SUMPRODUCT(--ISNUMBER(SEARCH(TRIM(Keywords!$A$2:$A$16),A383)))&gt;0,
        SUMPRODUCT(--ISNUMBER(SEARCH(TRIM(Keywords!$B$2:$B$14),A383)))&gt;0),"Neutral",
IF(SUMPRODUCT(--ISNUMBER(SEARCH(TRIM(Keywords!$A$2:$A$16),A383)))&gt;0,"Positive",
IF(SUMPRODUCT(--ISNUMBER(SEARCH(TRIM(Keywords!$A$2:$B$14),A383)))&gt;0,"Negative","Neutral")))</f>
        <v>Positive</v>
      </c>
    </row>
    <row r="384" spans="1:3" hidden="1" x14ac:dyDescent="0.25">
      <c r="A384" t="s">
        <v>2</v>
      </c>
      <c r="B384">
        <v>5</v>
      </c>
      <c r="C384" t="str">
        <f>IF(AND(SUMPRODUCT(--ISNUMBER(SEARCH(TRIM(Keywords!$A$2:$A$16),A384)))&gt;0,
        SUMPRODUCT(--ISNUMBER(SEARCH(TRIM(Keywords!$B$2:$B$14),A384)))&gt;0),"Neutral",
IF(SUMPRODUCT(--ISNUMBER(SEARCH(TRIM(Keywords!$A$2:$A$16),A384)))&gt;0,"Positive",
IF(SUMPRODUCT(--ISNUMBER(SEARCH(TRIM(Keywords!$A$2:$B$14),A384)))&gt;0,"Negative","Neutral")))</f>
        <v>Positive</v>
      </c>
    </row>
    <row r="385" spans="1:3" hidden="1" x14ac:dyDescent="0.25">
      <c r="A385" t="s">
        <v>37</v>
      </c>
      <c r="B385">
        <v>5</v>
      </c>
      <c r="C385" t="str">
        <f>IF(AND(SUMPRODUCT(--ISNUMBER(SEARCH(TRIM(Keywords!$A$2:$A$16),A385)))&gt;0,
        SUMPRODUCT(--ISNUMBER(SEARCH(TRIM(Keywords!$B$2:$B$14),A385)))&gt;0),"Neutral",
IF(SUMPRODUCT(--ISNUMBER(SEARCH(TRIM(Keywords!$A$2:$A$16),A385)))&gt;0,"Positive",
IF(SUMPRODUCT(--ISNUMBER(SEARCH(TRIM(Keywords!$A$2:$B$14),A385)))&gt;0,"Negative","Neutral")))</f>
        <v>Positive</v>
      </c>
    </row>
    <row r="386" spans="1:3" hidden="1" x14ac:dyDescent="0.25">
      <c r="A386" t="s">
        <v>37</v>
      </c>
      <c r="B386">
        <v>5</v>
      </c>
      <c r="C386" t="str">
        <f>IF(AND(SUMPRODUCT(--ISNUMBER(SEARCH(TRIM(Keywords!$A$2:$A$16),A386)))&gt;0,
        SUMPRODUCT(--ISNUMBER(SEARCH(TRIM(Keywords!$B$2:$B$14),A386)))&gt;0),"Neutral",
IF(SUMPRODUCT(--ISNUMBER(SEARCH(TRIM(Keywords!$A$2:$A$16),A386)))&gt;0,"Positive",
IF(SUMPRODUCT(--ISNUMBER(SEARCH(TRIM(Keywords!$A$2:$B$14),A386)))&gt;0,"Negative","Neutral")))</f>
        <v>Positive</v>
      </c>
    </row>
    <row r="387" spans="1:3" hidden="1" x14ac:dyDescent="0.25">
      <c r="A387" t="s">
        <v>249</v>
      </c>
      <c r="B387">
        <v>5</v>
      </c>
      <c r="C387" t="str">
        <f>IF(AND(SUMPRODUCT(--ISNUMBER(SEARCH(TRIM(Keywords!$A$2:$A$16),A387)))&gt;0,
        SUMPRODUCT(--ISNUMBER(SEARCH(TRIM(Keywords!$B$2:$B$14),A387)))&gt;0),"Neutral",
IF(SUMPRODUCT(--ISNUMBER(SEARCH(TRIM(Keywords!$A$2:$A$16),A387)))&gt;0,"Positive",
IF(SUMPRODUCT(--ISNUMBER(SEARCH(TRIM(Keywords!$A$2:$B$14),A387)))&gt;0,"Negative","Neutral")))</f>
        <v>Positive</v>
      </c>
    </row>
    <row r="388" spans="1:3" x14ac:dyDescent="0.25">
      <c r="A388" t="s">
        <v>250</v>
      </c>
      <c r="B388">
        <v>1</v>
      </c>
      <c r="C388" t="str">
        <f>IF(AND(SUMPRODUCT(--ISNUMBER(SEARCH(TRIM(Keywords!$A$2:$A$16),A388)))&gt;0,
        SUMPRODUCT(--ISNUMBER(SEARCH(TRIM(Keywords!$B$2:$B$14),A388)))&gt;0),"Neutral",
IF(SUMPRODUCT(--ISNUMBER(SEARCH(TRIM(Keywords!$A$2:$A$16),A388)))&gt;0,"Positive",
IF(SUMPRODUCT(--ISNUMBER(SEARCH(TRIM(Keywords!$A$2:$B$14),A388)))&gt;0,"Negative","Neutral")))</f>
        <v>Neutral</v>
      </c>
    </row>
    <row r="389" spans="1:3" x14ac:dyDescent="0.25">
      <c r="A389" t="s">
        <v>179</v>
      </c>
      <c r="B389">
        <v>3</v>
      </c>
      <c r="C389" t="str">
        <f>IF(AND(SUMPRODUCT(--ISNUMBER(SEARCH(TRIM(Keywords!$A$2:$A$16),A389)))&gt;0,
        SUMPRODUCT(--ISNUMBER(SEARCH(TRIM(Keywords!$B$2:$B$14),A389)))&gt;0),"Neutral",
IF(SUMPRODUCT(--ISNUMBER(SEARCH(TRIM(Keywords!$A$2:$A$16),A389)))&gt;0,"Positive",
IF(SUMPRODUCT(--ISNUMBER(SEARCH(TRIM(Keywords!$A$2:$B$14),A389)))&gt;0,"Negative","Neutral")))</f>
        <v>Neutral</v>
      </c>
    </row>
    <row r="390" spans="1:3" x14ac:dyDescent="0.25">
      <c r="A390" t="s">
        <v>251</v>
      </c>
      <c r="B390">
        <v>3</v>
      </c>
      <c r="C390" t="str">
        <f>IF(AND(SUMPRODUCT(--ISNUMBER(SEARCH(TRIM(Keywords!$A$2:$A$16),A390)))&gt;0,
        SUMPRODUCT(--ISNUMBER(SEARCH(TRIM(Keywords!$B$2:$B$14),A390)))&gt;0),"Neutral",
IF(SUMPRODUCT(--ISNUMBER(SEARCH(TRIM(Keywords!$A$2:$A$16),A390)))&gt;0,"Positive",
IF(SUMPRODUCT(--ISNUMBER(SEARCH(TRIM(Keywords!$A$2:$B$14),A390)))&gt;0,"Negative","Neutral")))</f>
        <v>Neutral</v>
      </c>
    </row>
    <row r="391" spans="1:3" x14ac:dyDescent="0.25">
      <c r="A391" t="s">
        <v>162</v>
      </c>
      <c r="B391">
        <v>5</v>
      </c>
      <c r="C391" t="str">
        <f>IF(AND(SUMPRODUCT(--ISNUMBER(SEARCH(TRIM(Keywords!$A$2:$A$16),A391)))&gt;0,
        SUMPRODUCT(--ISNUMBER(SEARCH(TRIM(Keywords!$B$2:$B$14),A391)))&gt;0),"Neutral",
IF(SUMPRODUCT(--ISNUMBER(SEARCH(TRIM(Keywords!$A$2:$A$16),A391)))&gt;0,"Positive",
IF(SUMPRODUCT(--ISNUMBER(SEARCH(TRIM(Keywords!$A$2:$B$14),A391)))&gt;0,"Negative","Neutral")))</f>
        <v>Neutral</v>
      </c>
    </row>
    <row r="392" spans="1:3" x14ac:dyDescent="0.25">
      <c r="A392" t="s">
        <v>252</v>
      </c>
      <c r="B392">
        <v>3</v>
      </c>
      <c r="C392" t="str">
        <f>IF(AND(SUMPRODUCT(--ISNUMBER(SEARCH(TRIM(Keywords!$A$2:$A$16),A392)))&gt;0,
        SUMPRODUCT(--ISNUMBER(SEARCH(TRIM(Keywords!$B$2:$B$14),A392)))&gt;0),"Neutral",
IF(SUMPRODUCT(--ISNUMBER(SEARCH(TRIM(Keywords!$A$2:$A$16),A392)))&gt;0,"Positive",
IF(SUMPRODUCT(--ISNUMBER(SEARCH(TRIM(Keywords!$A$2:$B$14),A392)))&gt;0,"Negative","Neutral")))</f>
        <v>Neutral</v>
      </c>
    </row>
    <row r="393" spans="1:3" hidden="1" x14ac:dyDescent="0.25">
      <c r="A393" t="s">
        <v>2</v>
      </c>
      <c r="B393">
        <v>5</v>
      </c>
      <c r="C393" t="str">
        <f>IF(AND(SUMPRODUCT(--ISNUMBER(SEARCH(TRIM(Keywords!$A$2:$A$16),A393)))&gt;0,
        SUMPRODUCT(--ISNUMBER(SEARCH(TRIM(Keywords!$B$2:$B$14),A393)))&gt;0),"Neutral",
IF(SUMPRODUCT(--ISNUMBER(SEARCH(TRIM(Keywords!$A$2:$A$16),A393)))&gt;0,"Positive",
IF(SUMPRODUCT(--ISNUMBER(SEARCH(TRIM(Keywords!$A$2:$B$14),A393)))&gt;0,"Negative","Neutral")))</f>
        <v>Positive</v>
      </c>
    </row>
    <row r="394" spans="1:3" hidden="1" x14ac:dyDescent="0.25">
      <c r="A394" t="s">
        <v>37</v>
      </c>
      <c r="B394">
        <v>5</v>
      </c>
      <c r="C394" t="str">
        <f>IF(AND(SUMPRODUCT(--ISNUMBER(SEARCH(TRIM(Keywords!$A$2:$A$16),A394)))&gt;0,
        SUMPRODUCT(--ISNUMBER(SEARCH(TRIM(Keywords!$B$2:$B$14),A394)))&gt;0),"Neutral",
IF(SUMPRODUCT(--ISNUMBER(SEARCH(TRIM(Keywords!$A$2:$A$16),A394)))&gt;0,"Positive",
IF(SUMPRODUCT(--ISNUMBER(SEARCH(TRIM(Keywords!$A$2:$B$14),A394)))&gt;0,"Negative","Neutral")))</f>
        <v>Positive</v>
      </c>
    </row>
    <row r="395" spans="1:3" hidden="1" x14ac:dyDescent="0.25">
      <c r="A395" t="s">
        <v>253</v>
      </c>
      <c r="B395">
        <v>1</v>
      </c>
      <c r="C395" t="str">
        <f>IF(AND(SUMPRODUCT(--ISNUMBER(SEARCH(TRIM(Keywords!$A$2:$A$16),A395)))&gt;0,
        SUMPRODUCT(--ISNUMBER(SEARCH(TRIM(Keywords!$B$2:$B$14),A395)))&gt;0),"Neutral",
IF(SUMPRODUCT(--ISNUMBER(SEARCH(TRIM(Keywords!$A$2:$A$16),A395)))&gt;0,"Positive",
IF(SUMPRODUCT(--ISNUMBER(SEARCH(TRIM(Keywords!$A$2:$B$14),A395)))&gt;0,"Negative","Neutral")))</f>
        <v>Negative</v>
      </c>
    </row>
    <row r="396" spans="1:3" hidden="1" x14ac:dyDescent="0.25">
      <c r="A396" t="s">
        <v>2</v>
      </c>
      <c r="B396">
        <v>5</v>
      </c>
      <c r="C396" t="str">
        <f>IF(AND(SUMPRODUCT(--ISNUMBER(SEARCH(TRIM(Keywords!$A$2:$A$16),A396)))&gt;0,
        SUMPRODUCT(--ISNUMBER(SEARCH(TRIM(Keywords!$B$2:$B$14),A396)))&gt;0),"Neutral",
IF(SUMPRODUCT(--ISNUMBER(SEARCH(TRIM(Keywords!$A$2:$A$16),A396)))&gt;0,"Positive",
IF(SUMPRODUCT(--ISNUMBER(SEARCH(TRIM(Keywords!$A$2:$B$14),A396)))&gt;0,"Negative","Neutral")))</f>
        <v>Positive</v>
      </c>
    </row>
    <row r="397" spans="1:3" hidden="1" x14ac:dyDescent="0.25">
      <c r="A397" t="s">
        <v>254</v>
      </c>
      <c r="B397">
        <v>5</v>
      </c>
      <c r="C397" t="str">
        <f>IF(AND(SUMPRODUCT(--ISNUMBER(SEARCH(TRIM(Keywords!$A$2:$A$16),A397)))&gt;0,
        SUMPRODUCT(--ISNUMBER(SEARCH(TRIM(Keywords!$B$2:$B$14),A397)))&gt;0),"Neutral",
IF(SUMPRODUCT(--ISNUMBER(SEARCH(TRIM(Keywords!$A$2:$A$16),A397)))&gt;0,"Positive",
IF(SUMPRODUCT(--ISNUMBER(SEARCH(TRIM(Keywords!$A$2:$B$14),A397)))&gt;0,"Negative","Neutral")))</f>
        <v>Positive</v>
      </c>
    </row>
    <row r="398" spans="1:3" hidden="1" x14ac:dyDescent="0.25">
      <c r="A398" t="s">
        <v>255</v>
      </c>
      <c r="B398">
        <v>5</v>
      </c>
      <c r="C398" t="str">
        <f>IF(AND(SUMPRODUCT(--ISNUMBER(SEARCH(TRIM(Keywords!$A$2:$A$16),A398)))&gt;0,
        SUMPRODUCT(--ISNUMBER(SEARCH(TRIM(Keywords!$B$2:$B$14),A398)))&gt;0),"Neutral",
IF(SUMPRODUCT(--ISNUMBER(SEARCH(TRIM(Keywords!$A$2:$A$16),A398)))&gt;0,"Positive",
IF(SUMPRODUCT(--ISNUMBER(SEARCH(TRIM(Keywords!$A$2:$B$14),A398)))&gt;0,"Negative","Neutral")))</f>
        <v>Positive</v>
      </c>
    </row>
    <row r="399" spans="1:3" x14ac:dyDescent="0.25">
      <c r="A399" t="s">
        <v>256</v>
      </c>
      <c r="B399">
        <v>3</v>
      </c>
      <c r="C399" t="str">
        <f>IF(AND(SUMPRODUCT(--ISNUMBER(SEARCH(TRIM(Keywords!$A$2:$A$16),A399)))&gt;0,
        SUMPRODUCT(--ISNUMBER(SEARCH(TRIM(Keywords!$B$2:$B$14),A399)))&gt;0),"Neutral",
IF(SUMPRODUCT(--ISNUMBER(SEARCH(TRIM(Keywords!$A$2:$A$16),A399)))&gt;0,"Positive",
IF(SUMPRODUCT(--ISNUMBER(SEARCH(TRIM(Keywords!$A$2:$B$14),A399)))&gt;0,"Negative","Neutral")))</f>
        <v>Neutral</v>
      </c>
    </row>
    <row r="400" spans="1:3" x14ac:dyDescent="0.25">
      <c r="A400" t="s">
        <v>257</v>
      </c>
      <c r="B400">
        <v>2</v>
      </c>
      <c r="C400" t="str">
        <f>IF(AND(SUMPRODUCT(--ISNUMBER(SEARCH(TRIM(Keywords!$A$2:$A$16),A400)))&gt;0,
        SUMPRODUCT(--ISNUMBER(SEARCH(TRIM(Keywords!$B$2:$B$14),A400)))&gt;0),"Neutral",
IF(SUMPRODUCT(--ISNUMBER(SEARCH(TRIM(Keywords!$A$2:$A$16),A400)))&gt;0,"Positive",
IF(SUMPRODUCT(--ISNUMBER(SEARCH(TRIM(Keywords!$A$2:$B$14),A400)))&gt;0,"Negative","Neutral")))</f>
        <v>Neutral</v>
      </c>
    </row>
    <row r="401" spans="1:3" hidden="1" x14ac:dyDescent="0.25">
      <c r="A401" t="s">
        <v>258</v>
      </c>
      <c r="B401">
        <v>5</v>
      </c>
      <c r="C401" t="str">
        <f>IF(AND(SUMPRODUCT(--ISNUMBER(SEARCH(TRIM(Keywords!$A$2:$A$16),A401)))&gt;0,
        SUMPRODUCT(--ISNUMBER(SEARCH(TRIM(Keywords!$B$2:$B$14),A401)))&gt;0),"Neutral",
IF(SUMPRODUCT(--ISNUMBER(SEARCH(TRIM(Keywords!$A$2:$A$16),A401)))&gt;0,"Positive",
IF(SUMPRODUCT(--ISNUMBER(SEARCH(TRIM(Keywords!$A$2:$B$14),A401)))&gt;0,"Negative","Neutral")))</f>
        <v>Positive</v>
      </c>
    </row>
    <row r="402" spans="1:3" x14ac:dyDescent="0.25">
      <c r="A402" t="s">
        <v>259</v>
      </c>
      <c r="B402">
        <v>5</v>
      </c>
      <c r="C402" t="str">
        <f>IF(AND(SUMPRODUCT(--ISNUMBER(SEARCH(TRIM(Keywords!$A$2:$A$16),A402)))&gt;0,
        SUMPRODUCT(--ISNUMBER(SEARCH(TRIM(Keywords!$B$2:$B$14),A402)))&gt;0),"Neutral",
IF(SUMPRODUCT(--ISNUMBER(SEARCH(TRIM(Keywords!$A$2:$A$16),A402)))&gt;0,"Positive",
IF(SUMPRODUCT(--ISNUMBER(SEARCH(TRIM(Keywords!$A$2:$B$14),A402)))&gt;0,"Negative","Neutral")))</f>
        <v>Neutral</v>
      </c>
    </row>
    <row r="403" spans="1:3" hidden="1" x14ac:dyDescent="0.25">
      <c r="A403" t="s">
        <v>260</v>
      </c>
      <c r="B403">
        <v>5</v>
      </c>
      <c r="C403" t="str">
        <f>IF(AND(SUMPRODUCT(--ISNUMBER(SEARCH(TRIM(Keywords!$A$2:$A$16),A403)))&gt;0,
        SUMPRODUCT(--ISNUMBER(SEARCH(TRIM(Keywords!$B$2:$B$14),A403)))&gt;0),"Neutral",
IF(SUMPRODUCT(--ISNUMBER(SEARCH(TRIM(Keywords!$A$2:$A$16),A403)))&gt;0,"Positive",
IF(SUMPRODUCT(--ISNUMBER(SEARCH(TRIM(Keywords!$A$2:$B$14),A403)))&gt;0,"Negative","Neutral")))</f>
        <v>Positive</v>
      </c>
    </row>
    <row r="404" spans="1:3" hidden="1" x14ac:dyDescent="0.25">
      <c r="A404" t="s">
        <v>261</v>
      </c>
      <c r="B404">
        <v>5</v>
      </c>
      <c r="C404" t="str">
        <f>IF(AND(SUMPRODUCT(--ISNUMBER(SEARCH(TRIM(Keywords!$A$2:$A$16),A404)))&gt;0,
        SUMPRODUCT(--ISNUMBER(SEARCH(TRIM(Keywords!$B$2:$B$14),A404)))&gt;0),"Neutral",
IF(SUMPRODUCT(--ISNUMBER(SEARCH(TRIM(Keywords!$A$2:$A$16),A404)))&gt;0,"Positive",
IF(SUMPRODUCT(--ISNUMBER(SEARCH(TRIM(Keywords!$A$2:$B$14),A404)))&gt;0,"Negative","Neutral")))</f>
        <v>Positive</v>
      </c>
    </row>
    <row r="405" spans="1:3" hidden="1" x14ac:dyDescent="0.25">
      <c r="A405" t="s">
        <v>262</v>
      </c>
      <c r="B405">
        <v>4</v>
      </c>
      <c r="C405" t="str">
        <f>IF(AND(SUMPRODUCT(--ISNUMBER(SEARCH(TRIM(Keywords!$A$2:$A$16),A405)))&gt;0,
        SUMPRODUCT(--ISNUMBER(SEARCH(TRIM(Keywords!$B$2:$B$14),A405)))&gt;0),"Neutral",
IF(SUMPRODUCT(--ISNUMBER(SEARCH(TRIM(Keywords!$A$2:$A$16),A405)))&gt;0,"Positive",
IF(SUMPRODUCT(--ISNUMBER(SEARCH(TRIM(Keywords!$A$2:$B$14),A405)))&gt;0,"Negative","Neutral")))</f>
        <v>Positive</v>
      </c>
    </row>
    <row r="406" spans="1:3" x14ac:dyDescent="0.25">
      <c r="A406" t="s">
        <v>263</v>
      </c>
      <c r="B406">
        <v>5</v>
      </c>
      <c r="C406" t="str">
        <f>IF(AND(SUMPRODUCT(--ISNUMBER(SEARCH(TRIM(Keywords!$A$2:$A$16),A406)))&gt;0,
        SUMPRODUCT(--ISNUMBER(SEARCH(TRIM(Keywords!$B$2:$B$14),A406)))&gt;0),"Neutral",
IF(SUMPRODUCT(--ISNUMBER(SEARCH(TRIM(Keywords!$A$2:$A$16),A406)))&gt;0,"Positive",
IF(SUMPRODUCT(--ISNUMBER(SEARCH(TRIM(Keywords!$A$2:$B$14),A406)))&gt;0,"Negative","Neutral")))</f>
        <v>Neutral</v>
      </c>
    </row>
    <row r="407" spans="1:3" x14ac:dyDescent="0.25">
      <c r="A407" t="s">
        <v>264</v>
      </c>
      <c r="B407">
        <v>2</v>
      </c>
      <c r="C407" t="str">
        <f>IF(AND(SUMPRODUCT(--ISNUMBER(SEARCH(TRIM(Keywords!$A$2:$A$16),A407)))&gt;0,
        SUMPRODUCT(--ISNUMBER(SEARCH(TRIM(Keywords!$B$2:$B$14),A407)))&gt;0),"Neutral",
IF(SUMPRODUCT(--ISNUMBER(SEARCH(TRIM(Keywords!$A$2:$A$16),A407)))&gt;0,"Positive",
IF(SUMPRODUCT(--ISNUMBER(SEARCH(TRIM(Keywords!$A$2:$B$14),A407)))&gt;0,"Negative","Neutral")))</f>
        <v>Neutral</v>
      </c>
    </row>
    <row r="408" spans="1:3" x14ac:dyDescent="0.25">
      <c r="A408" t="s">
        <v>265</v>
      </c>
      <c r="B408">
        <v>3</v>
      </c>
      <c r="C408" t="str">
        <f>IF(AND(SUMPRODUCT(--ISNUMBER(SEARCH(TRIM(Keywords!$A$2:$A$16),A408)))&gt;0,
        SUMPRODUCT(--ISNUMBER(SEARCH(TRIM(Keywords!$B$2:$B$14),A408)))&gt;0),"Neutral",
IF(SUMPRODUCT(--ISNUMBER(SEARCH(TRIM(Keywords!$A$2:$A$16),A408)))&gt;0,"Positive",
IF(SUMPRODUCT(--ISNUMBER(SEARCH(TRIM(Keywords!$A$2:$B$14),A408)))&gt;0,"Negative","Neutral")))</f>
        <v>Neutral</v>
      </c>
    </row>
    <row r="409" spans="1:3" x14ac:dyDescent="0.25">
      <c r="A409" t="s">
        <v>36</v>
      </c>
      <c r="B409">
        <v>5</v>
      </c>
      <c r="C409" t="str">
        <f>IF(AND(SUMPRODUCT(--ISNUMBER(SEARCH(TRIM(Keywords!$A$2:$A$16),A409)))&gt;0,
        SUMPRODUCT(--ISNUMBER(SEARCH(TRIM(Keywords!$B$2:$B$14),A409)))&gt;0),"Neutral",
IF(SUMPRODUCT(--ISNUMBER(SEARCH(TRIM(Keywords!$A$2:$A$16),A409)))&gt;0,"Positive",
IF(SUMPRODUCT(--ISNUMBER(SEARCH(TRIM(Keywords!$A$2:$B$14),A409)))&gt;0,"Negative","Neutral")))</f>
        <v>Neutral</v>
      </c>
    </row>
    <row r="410" spans="1:3" hidden="1" x14ac:dyDescent="0.25">
      <c r="A410" t="s">
        <v>266</v>
      </c>
      <c r="B410">
        <v>5</v>
      </c>
      <c r="C410" t="str">
        <f>IF(AND(SUMPRODUCT(--ISNUMBER(SEARCH(TRIM(Keywords!$A$2:$A$16),A410)))&gt;0,
        SUMPRODUCT(--ISNUMBER(SEARCH(TRIM(Keywords!$B$2:$B$14),A410)))&gt;0),"Neutral",
IF(SUMPRODUCT(--ISNUMBER(SEARCH(TRIM(Keywords!$A$2:$A$16),A410)))&gt;0,"Positive",
IF(SUMPRODUCT(--ISNUMBER(SEARCH(TRIM(Keywords!$A$2:$B$14),A410)))&gt;0,"Negative","Neutral")))</f>
        <v>Positive</v>
      </c>
    </row>
    <row r="411" spans="1:3" x14ac:dyDescent="0.25">
      <c r="A411" t="s">
        <v>267</v>
      </c>
      <c r="B411">
        <v>3</v>
      </c>
      <c r="C411" t="str">
        <f>IF(AND(SUMPRODUCT(--ISNUMBER(SEARCH(TRIM(Keywords!$A$2:$A$16),A411)))&gt;0,
        SUMPRODUCT(--ISNUMBER(SEARCH(TRIM(Keywords!$B$2:$B$14),A411)))&gt;0),"Neutral",
IF(SUMPRODUCT(--ISNUMBER(SEARCH(TRIM(Keywords!$A$2:$A$16),A411)))&gt;0,"Positive",
IF(SUMPRODUCT(--ISNUMBER(SEARCH(TRIM(Keywords!$A$2:$B$14),A411)))&gt;0,"Negative","Neutral")))</f>
        <v>Neutral</v>
      </c>
    </row>
    <row r="412" spans="1:3" hidden="1" x14ac:dyDescent="0.25">
      <c r="A412" t="s">
        <v>268</v>
      </c>
      <c r="B412">
        <v>5</v>
      </c>
      <c r="C412" t="str">
        <f>IF(AND(SUMPRODUCT(--ISNUMBER(SEARCH(TRIM(Keywords!$A$2:$A$16),A412)))&gt;0,
        SUMPRODUCT(--ISNUMBER(SEARCH(TRIM(Keywords!$B$2:$B$14),A412)))&gt;0),"Neutral",
IF(SUMPRODUCT(--ISNUMBER(SEARCH(TRIM(Keywords!$A$2:$A$16),A412)))&gt;0,"Positive",
IF(SUMPRODUCT(--ISNUMBER(SEARCH(TRIM(Keywords!$A$2:$B$14),A412)))&gt;0,"Negative","Neutral")))</f>
        <v>Positive</v>
      </c>
    </row>
    <row r="413" spans="1:3" hidden="1" x14ac:dyDescent="0.25">
      <c r="A413" t="s">
        <v>37</v>
      </c>
      <c r="B413">
        <v>5</v>
      </c>
      <c r="C413" t="str">
        <f>IF(AND(SUMPRODUCT(--ISNUMBER(SEARCH(TRIM(Keywords!$A$2:$A$16),A413)))&gt;0,
        SUMPRODUCT(--ISNUMBER(SEARCH(TRIM(Keywords!$B$2:$B$14),A413)))&gt;0),"Neutral",
IF(SUMPRODUCT(--ISNUMBER(SEARCH(TRIM(Keywords!$A$2:$A$16),A413)))&gt;0,"Positive",
IF(SUMPRODUCT(--ISNUMBER(SEARCH(TRIM(Keywords!$A$2:$B$14),A413)))&gt;0,"Negative","Neutral")))</f>
        <v>Positive</v>
      </c>
    </row>
    <row r="414" spans="1:3" hidden="1" x14ac:dyDescent="0.25">
      <c r="A414" t="s">
        <v>269</v>
      </c>
      <c r="B414">
        <v>4</v>
      </c>
      <c r="C414" t="str">
        <f>IF(AND(SUMPRODUCT(--ISNUMBER(SEARCH(TRIM(Keywords!$A$2:$A$16),A414)))&gt;0,
        SUMPRODUCT(--ISNUMBER(SEARCH(TRIM(Keywords!$B$2:$B$14),A414)))&gt;0),"Neutral",
IF(SUMPRODUCT(--ISNUMBER(SEARCH(TRIM(Keywords!$A$2:$A$16),A414)))&gt;0,"Positive",
IF(SUMPRODUCT(--ISNUMBER(SEARCH(TRIM(Keywords!$A$2:$B$14),A414)))&gt;0,"Negative","Neutral")))</f>
        <v>Positive</v>
      </c>
    </row>
    <row r="415" spans="1:3" hidden="1" x14ac:dyDescent="0.25">
      <c r="A415" t="s">
        <v>270</v>
      </c>
      <c r="B415">
        <v>1</v>
      </c>
      <c r="C415" t="str">
        <f>IF(AND(SUMPRODUCT(--ISNUMBER(SEARCH(TRIM(Keywords!$A$2:$A$16),A415)))&gt;0,
        SUMPRODUCT(--ISNUMBER(SEARCH(TRIM(Keywords!$B$2:$B$14),A415)))&gt;0),"Neutral",
IF(SUMPRODUCT(--ISNUMBER(SEARCH(TRIM(Keywords!$A$2:$A$16),A415)))&gt;0,"Positive",
IF(SUMPRODUCT(--ISNUMBER(SEARCH(TRIM(Keywords!$A$2:$B$14),A415)))&gt;0,"Negative","Neutral")))</f>
        <v>Negative</v>
      </c>
    </row>
    <row r="416" spans="1:3" hidden="1" x14ac:dyDescent="0.25">
      <c r="A416" t="s">
        <v>38</v>
      </c>
      <c r="B416">
        <v>5</v>
      </c>
      <c r="C416" t="str">
        <f>IF(AND(SUMPRODUCT(--ISNUMBER(SEARCH(TRIM(Keywords!$A$2:$A$16),A416)))&gt;0,
        SUMPRODUCT(--ISNUMBER(SEARCH(TRIM(Keywords!$B$2:$B$14),A416)))&gt;0),"Neutral",
IF(SUMPRODUCT(--ISNUMBER(SEARCH(TRIM(Keywords!$A$2:$A$16),A416)))&gt;0,"Positive",
IF(SUMPRODUCT(--ISNUMBER(SEARCH(TRIM(Keywords!$A$2:$B$14),A416)))&gt;0,"Negative","Neutral")))</f>
        <v>Positive</v>
      </c>
    </row>
    <row r="417" spans="1:3" hidden="1" x14ac:dyDescent="0.25">
      <c r="A417" t="s">
        <v>271</v>
      </c>
      <c r="B417">
        <v>1</v>
      </c>
      <c r="C417" t="str">
        <f>IF(AND(SUMPRODUCT(--ISNUMBER(SEARCH(TRIM(Keywords!$A$2:$A$16),A417)))&gt;0,
        SUMPRODUCT(--ISNUMBER(SEARCH(TRIM(Keywords!$B$2:$B$14),A417)))&gt;0),"Neutral",
IF(SUMPRODUCT(--ISNUMBER(SEARCH(TRIM(Keywords!$A$2:$A$16),A417)))&gt;0,"Positive",
IF(SUMPRODUCT(--ISNUMBER(SEARCH(TRIM(Keywords!$A$2:$B$14),A417)))&gt;0,"Negative","Neutral")))</f>
        <v>Positive</v>
      </c>
    </row>
    <row r="418" spans="1:3" hidden="1" x14ac:dyDescent="0.25">
      <c r="A418" t="s">
        <v>38</v>
      </c>
      <c r="B418">
        <v>4</v>
      </c>
      <c r="C418" t="str">
        <f>IF(AND(SUMPRODUCT(--ISNUMBER(SEARCH(TRIM(Keywords!$A$2:$A$16),A418)))&gt;0,
        SUMPRODUCT(--ISNUMBER(SEARCH(TRIM(Keywords!$B$2:$B$14),A418)))&gt;0),"Neutral",
IF(SUMPRODUCT(--ISNUMBER(SEARCH(TRIM(Keywords!$A$2:$A$16),A418)))&gt;0,"Positive",
IF(SUMPRODUCT(--ISNUMBER(SEARCH(TRIM(Keywords!$A$2:$B$14),A418)))&gt;0,"Negative","Neutral")))</f>
        <v>Positive</v>
      </c>
    </row>
    <row r="419" spans="1:3" x14ac:dyDescent="0.25">
      <c r="A419" t="s">
        <v>272</v>
      </c>
      <c r="B419">
        <v>1</v>
      </c>
      <c r="C419" t="str">
        <f>IF(AND(SUMPRODUCT(--ISNUMBER(SEARCH(TRIM(Keywords!$A$2:$A$16),A419)))&gt;0,
        SUMPRODUCT(--ISNUMBER(SEARCH(TRIM(Keywords!$B$2:$B$14),A419)))&gt;0),"Neutral",
IF(SUMPRODUCT(--ISNUMBER(SEARCH(TRIM(Keywords!$A$2:$A$16),A419)))&gt;0,"Positive",
IF(SUMPRODUCT(--ISNUMBER(SEARCH(TRIM(Keywords!$A$2:$B$14),A419)))&gt;0,"Negative","Neutral")))</f>
        <v>Neutral</v>
      </c>
    </row>
    <row r="420" spans="1:3" hidden="1" x14ac:dyDescent="0.25">
      <c r="A420" t="s">
        <v>38</v>
      </c>
      <c r="B420">
        <v>5</v>
      </c>
      <c r="C420" t="str">
        <f>IF(AND(SUMPRODUCT(--ISNUMBER(SEARCH(TRIM(Keywords!$A$2:$A$16),A420)))&gt;0,
        SUMPRODUCT(--ISNUMBER(SEARCH(TRIM(Keywords!$B$2:$B$14),A420)))&gt;0),"Neutral",
IF(SUMPRODUCT(--ISNUMBER(SEARCH(TRIM(Keywords!$A$2:$A$16),A420)))&gt;0,"Positive",
IF(SUMPRODUCT(--ISNUMBER(SEARCH(TRIM(Keywords!$A$2:$B$14),A420)))&gt;0,"Negative","Neutral")))</f>
        <v>Positive</v>
      </c>
    </row>
    <row r="421" spans="1:3" hidden="1" x14ac:dyDescent="0.25">
      <c r="A421" t="s">
        <v>38</v>
      </c>
      <c r="B421">
        <v>5</v>
      </c>
      <c r="C421" t="str">
        <f>IF(AND(SUMPRODUCT(--ISNUMBER(SEARCH(TRIM(Keywords!$A$2:$A$16),A421)))&gt;0,
        SUMPRODUCT(--ISNUMBER(SEARCH(TRIM(Keywords!$B$2:$B$14),A421)))&gt;0),"Neutral",
IF(SUMPRODUCT(--ISNUMBER(SEARCH(TRIM(Keywords!$A$2:$A$16),A421)))&gt;0,"Positive",
IF(SUMPRODUCT(--ISNUMBER(SEARCH(TRIM(Keywords!$A$2:$B$14),A421)))&gt;0,"Negative","Neutral")))</f>
        <v>Positive</v>
      </c>
    </row>
    <row r="422" spans="1:3" x14ac:dyDescent="0.25">
      <c r="A422" t="s">
        <v>36</v>
      </c>
      <c r="B422">
        <v>3</v>
      </c>
      <c r="C422" t="str">
        <f>IF(AND(SUMPRODUCT(--ISNUMBER(SEARCH(TRIM(Keywords!$A$2:$A$16),A422)))&gt;0,
        SUMPRODUCT(--ISNUMBER(SEARCH(TRIM(Keywords!$B$2:$B$14),A422)))&gt;0),"Neutral",
IF(SUMPRODUCT(--ISNUMBER(SEARCH(TRIM(Keywords!$A$2:$A$16),A422)))&gt;0,"Positive",
IF(SUMPRODUCT(--ISNUMBER(SEARCH(TRIM(Keywords!$A$2:$B$14),A422)))&gt;0,"Negative","Neutral")))</f>
        <v>Neutral</v>
      </c>
    </row>
    <row r="423" spans="1:3" hidden="1" x14ac:dyDescent="0.25">
      <c r="A423" t="s">
        <v>273</v>
      </c>
      <c r="B423">
        <v>5</v>
      </c>
      <c r="C423" t="str">
        <f>IF(AND(SUMPRODUCT(--ISNUMBER(SEARCH(TRIM(Keywords!$A$2:$A$16),A423)))&gt;0,
        SUMPRODUCT(--ISNUMBER(SEARCH(TRIM(Keywords!$B$2:$B$14),A423)))&gt;0),"Neutral",
IF(SUMPRODUCT(--ISNUMBER(SEARCH(TRIM(Keywords!$A$2:$A$16),A423)))&gt;0,"Positive",
IF(SUMPRODUCT(--ISNUMBER(SEARCH(TRIM(Keywords!$A$2:$B$14),A423)))&gt;0,"Negative","Neutral")))</f>
        <v>Positive</v>
      </c>
    </row>
    <row r="424" spans="1:3" hidden="1" x14ac:dyDescent="0.25">
      <c r="A424" t="s">
        <v>39</v>
      </c>
      <c r="B424">
        <v>5</v>
      </c>
      <c r="C424" t="str">
        <f>IF(AND(SUMPRODUCT(--ISNUMBER(SEARCH(TRIM(Keywords!$A$2:$A$16),A424)))&gt;0,
        SUMPRODUCT(--ISNUMBER(SEARCH(TRIM(Keywords!$B$2:$B$14),A424)))&gt;0),"Neutral",
IF(SUMPRODUCT(--ISNUMBER(SEARCH(TRIM(Keywords!$A$2:$A$16),A424)))&gt;0,"Positive",
IF(SUMPRODUCT(--ISNUMBER(SEARCH(TRIM(Keywords!$A$2:$B$14),A424)))&gt;0,"Negative","Neutral")))</f>
        <v>Positive</v>
      </c>
    </row>
    <row r="425" spans="1:3" hidden="1" x14ac:dyDescent="0.25">
      <c r="A425" t="s">
        <v>274</v>
      </c>
      <c r="B425">
        <v>1</v>
      </c>
      <c r="C425" t="str">
        <f>IF(AND(SUMPRODUCT(--ISNUMBER(SEARCH(TRIM(Keywords!$A$2:$A$16),A425)))&gt;0,
        SUMPRODUCT(--ISNUMBER(SEARCH(TRIM(Keywords!$B$2:$B$14),A425)))&gt;0),"Neutral",
IF(SUMPRODUCT(--ISNUMBER(SEARCH(TRIM(Keywords!$A$2:$A$16),A425)))&gt;0,"Positive",
IF(SUMPRODUCT(--ISNUMBER(SEARCH(TRIM(Keywords!$A$2:$B$14),A425)))&gt;0,"Negative","Neutral")))</f>
        <v>Negative</v>
      </c>
    </row>
    <row r="426" spans="1:3" hidden="1" x14ac:dyDescent="0.25">
      <c r="A426" t="s">
        <v>2</v>
      </c>
      <c r="B426">
        <v>1</v>
      </c>
      <c r="C426" t="str">
        <f>IF(AND(SUMPRODUCT(--ISNUMBER(SEARCH(TRIM(Keywords!$A$2:$A$16),A426)))&gt;0,
        SUMPRODUCT(--ISNUMBER(SEARCH(TRIM(Keywords!$B$2:$B$14),A426)))&gt;0),"Neutral",
IF(SUMPRODUCT(--ISNUMBER(SEARCH(TRIM(Keywords!$A$2:$A$16),A426)))&gt;0,"Positive",
IF(SUMPRODUCT(--ISNUMBER(SEARCH(TRIM(Keywords!$A$2:$B$14),A426)))&gt;0,"Negative","Neutral")))</f>
        <v>Positive</v>
      </c>
    </row>
    <row r="427" spans="1:3" hidden="1" x14ac:dyDescent="0.25">
      <c r="A427" t="s">
        <v>39</v>
      </c>
      <c r="B427">
        <v>5</v>
      </c>
      <c r="C427" t="str">
        <f>IF(AND(SUMPRODUCT(--ISNUMBER(SEARCH(TRIM(Keywords!$A$2:$A$16),A427)))&gt;0,
        SUMPRODUCT(--ISNUMBER(SEARCH(TRIM(Keywords!$B$2:$B$14),A427)))&gt;0),"Neutral",
IF(SUMPRODUCT(--ISNUMBER(SEARCH(TRIM(Keywords!$A$2:$A$16),A427)))&gt;0,"Positive",
IF(SUMPRODUCT(--ISNUMBER(SEARCH(TRIM(Keywords!$A$2:$B$14),A427)))&gt;0,"Negative","Neutral")))</f>
        <v>Positive</v>
      </c>
    </row>
    <row r="428" spans="1:3" x14ac:dyDescent="0.25">
      <c r="A428" t="s">
        <v>275</v>
      </c>
      <c r="B428">
        <v>3</v>
      </c>
      <c r="C428" t="str">
        <f>IF(AND(SUMPRODUCT(--ISNUMBER(SEARCH(TRIM(Keywords!$A$2:$A$16),A428)))&gt;0,
        SUMPRODUCT(--ISNUMBER(SEARCH(TRIM(Keywords!$B$2:$B$14),A428)))&gt;0),"Neutral",
IF(SUMPRODUCT(--ISNUMBER(SEARCH(TRIM(Keywords!$A$2:$A$16),A428)))&gt;0,"Positive",
IF(SUMPRODUCT(--ISNUMBER(SEARCH(TRIM(Keywords!$A$2:$B$14),A428)))&gt;0,"Negative","Neutral")))</f>
        <v>Neutral</v>
      </c>
    </row>
    <row r="429" spans="1:3" hidden="1" x14ac:dyDescent="0.25">
      <c r="A429" t="s">
        <v>276</v>
      </c>
      <c r="B429">
        <v>5</v>
      </c>
      <c r="C429" t="str">
        <f>IF(AND(SUMPRODUCT(--ISNUMBER(SEARCH(TRIM(Keywords!$A$2:$A$16),A429)))&gt;0,
        SUMPRODUCT(--ISNUMBER(SEARCH(TRIM(Keywords!$B$2:$B$14),A429)))&gt;0),"Neutral",
IF(SUMPRODUCT(--ISNUMBER(SEARCH(TRIM(Keywords!$A$2:$A$16),A429)))&gt;0,"Positive",
IF(SUMPRODUCT(--ISNUMBER(SEARCH(TRIM(Keywords!$A$2:$B$14),A429)))&gt;0,"Negative","Neutral")))</f>
        <v>Positive</v>
      </c>
    </row>
    <row r="430" spans="1:3" hidden="1" x14ac:dyDescent="0.25">
      <c r="A430" t="s">
        <v>277</v>
      </c>
      <c r="B430">
        <v>5</v>
      </c>
      <c r="C430" t="str">
        <f>IF(AND(SUMPRODUCT(--ISNUMBER(SEARCH(TRIM(Keywords!$A$2:$A$16),A430)))&gt;0,
        SUMPRODUCT(--ISNUMBER(SEARCH(TRIM(Keywords!$B$2:$B$14),A430)))&gt;0),"Neutral",
IF(SUMPRODUCT(--ISNUMBER(SEARCH(TRIM(Keywords!$A$2:$A$16),A430)))&gt;0,"Positive",
IF(SUMPRODUCT(--ISNUMBER(SEARCH(TRIM(Keywords!$A$2:$B$14),A430)))&gt;0,"Negative","Neutral")))</f>
        <v>Positive</v>
      </c>
    </row>
    <row r="431" spans="1:3" hidden="1" x14ac:dyDescent="0.25">
      <c r="A431" t="s">
        <v>2</v>
      </c>
      <c r="B431">
        <v>5</v>
      </c>
      <c r="C431" t="str">
        <f>IF(AND(SUMPRODUCT(--ISNUMBER(SEARCH(TRIM(Keywords!$A$2:$A$16),A431)))&gt;0,
        SUMPRODUCT(--ISNUMBER(SEARCH(TRIM(Keywords!$B$2:$B$14),A431)))&gt;0),"Neutral",
IF(SUMPRODUCT(--ISNUMBER(SEARCH(TRIM(Keywords!$A$2:$A$16),A431)))&gt;0,"Positive",
IF(SUMPRODUCT(--ISNUMBER(SEARCH(TRIM(Keywords!$A$2:$B$14),A431)))&gt;0,"Negative","Neutral")))</f>
        <v>Positive</v>
      </c>
    </row>
    <row r="432" spans="1:3" x14ac:dyDescent="0.25">
      <c r="A432" t="s">
        <v>64</v>
      </c>
      <c r="B432">
        <v>1</v>
      </c>
      <c r="C432" t="str">
        <f>IF(AND(SUMPRODUCT(--ISNUMBER(SEARCH(TRIM(Keywords!$A$2:$A$16),A432)))&gt;0,
        SUMPRODUCT(--ISNUMBER(SEARCH(TRIM(Keywords!$B$2:$B$14),A432)))&gt;0),"Neutral",
IF(SUMPRODUCT(--ISNUMBER(SEARCH(TRIM(Keywords!$A$2:$A$16),A432)))&gt;0,"Positive",
IF(SUMPRODUCT(--ISNUMBER(SEARCH(TRIM(Keywords!$A$2:$B$14),A432)))&gt;0,"Negative","Neutral")))</f>
        <v>Neutral</v>
      </c>
    </row>
    <row r="433" spans="1:3" hidden="1" x14ac:dyDescent="0.25">
      <c r="A433" t="s">
        <v>37</v>
      </c>
      <c r="B433">
        <v>5</v>
      </c>
      <c r="C433" t="str">
        <f>IF(AND(SUMPRODUCT(--ISNUMBER(SEARCH(TRIM(Keywords!$A$2:$A$16),A433)))&gt;0,
        SUMPRODUCT(--ISNUMBER(SEARCH(TRIM(Keywords!$B$2:$B$14),A433)))&gt;0),"Neutral",
IF(SUMPRODUCT(--ISNUMBER(SEARCH(TRIM(Keywords!$A$2:$A$16),A433)))&gt;0,"Positive",
IF(SUMPRODUCT(--ISNUMBER(SEARCH(TRIM(Keywords!$A$2:$B$14),A433)))&gt;0,"Negative","Neutral")))</f>
        <v>Positive</v>
      </c>
    </row>
    <row r="434" spans="1:3" x14ac:dyDescent="0.25">
      <c r="A434" t="s">
        <v>278</v>
      </c>
      <c r="B434">
        <v>3</v>
      </c>
      <c r="C434" t="str">
        <f>IF(AND(SUMPRODUCT(--ISNUMBER(SEARCH(TRIM(Keywords!$A$2:$A$16),A434)))&gt;0,
        SUMPRODUCT(--ISNUMBER(SEARCH(TRIM(Keywords!$B$2:$B$14),A434)))&gt;0),"Neutral",
IF(SUMPRODUCT(--ISNUMBER(SEARCH(TRIM(Keywords!$A$2:$A$16),A434)))&gt;0,"Positive",
IF(SUMPRODUCT(--ISNUMBER(SEARCH(TRIM(Keywords!$A$2:$B$14),A434)))&gt;0,"Negative","Neutral")))</f>
        <v>Neutral</v>
      </c>
    </row>
    <row r="435" spans="1:3" hidden="1" x14ac:dyDescent="0.25">
      <c r="A435" t="s">
        <v>2</v>
      </c>
      <c r="B435">
        <v>5</v>
      </c>
      <c r="C435" t="str">
        <f>IF(AND(SUMPRODUCT(--ISNUMBER(SEARCH(TRIM(Keywords!$A$2:$A$16),A435)))&gt;0,
        SUMPRODUCT(--ISNUMBER(SEARCH(TRIM(Keywords!$B$2:$B$14),A435)))&gt;0),"Neutral",
IF(SUMPRODUCT(--ISNUMBER(SEARCH(TRIM(Keywords!$A$2:$A$16),A435)))&gt;0,"Positive",
IF(SUMPRODUCT(--ISNUMBER(SEARCH(TRIM(Keywords!$A$2:$B$14),A435)))&gt;0,"Negative","Neutral")))</f>
        <v>Positive</v>
      </c>
    </row>
    <row r="436" spans="1:3" x14ac:dyDescent="0.25">
      <c r="A436" t="s">
        <v>36</v>
      </c>
      <c r="B436">
        <v>3</v>
      </c>
      <c r="C436" t="str">
        <f>IF(AND(SUMPRODUCT(--ISNUMBER(SEARCH(TRIM(Keywords!$A$2:$A$16),A436)))&gt;0,
        SUMPRODUCT(--ISNUMBER(SEARCH(TRIM(Keywords!$B$2:$B$14),A436)))&gt;0),"Neutral",
IF(SUMPRODUCT(--ISNUMBER(SEARCH(TRIM(Keywords!$A$2:$A$16),A436)))&gt;0,"Positive",
IF(SUMPRODUCT(--ISNUMBER(SEARCH(TRIM(Keywords!$A$2:$B$14),A436)))&gt;0,"Negative","Neutral")))</f>
        <v>Neutral</v>
      </c>
    </row>
    <row r="437" spans="1:3" x14ac:dyDescent="0.25">
      <c r="A437" t="s">
        <v>279</v>
      </c>
      <c r="B437">
        <v>1</v>
      </c>
      <c r="C437" t="str">
        <f>IF(AND(SUMPRODUCT(--ISNUMBER(SEARCH(TRIM(Keywords!$A$2:$A$16),A437)))&gt;0,
        SUMPRODUCT(--ISNUMBER(SEARCH(TRIM(Keywords!$B$2:$B$14),A437)))&gt;0),"Neutral",
IF(SUMPRODUCT(--ISNUMBER(SEARCH(TRIM(Keywords!$A$2:$A$16),A437)))&gt;0,"Positive",
IF(SUMPRODUCT(--ISNUMBER(SEARCH(TRIM(Keywords!$A$2:$B$14),A437)))&gt;0,"Negative","Neutral")))</f>
        <v>Neutral</v>
      </c>
    </row>
    <row r="438" spans="1:3" hidden="1" x14ac:dyDescent="0.25">
      <c r="A438" t="s">
        <v>280</v>
      </c>
      <c r="B438">
        <v>4</v>
      </c>
      <c r="C438" t="str">
        <f>IF(AND(SUMPRODUCT(--ISNUMBER(SEARCH(TRIM(Keywords!$A$2:$A$16),A438)))&gt;0,
        SUMPRODUCT(--ISNUMBER(SEARCH(TRIM(Keywords!$B$2:$B$14),A438)))&gt;0),"Neutral",
IF(SUMPRODUCT(--ISNUMBER(SEARCH(TRIM(Keywords!$A$2:$A$16),A438)))&gt;0,"Positive",
IF(SUMPRODUCT(--ISNUMBER(SEARCH(TRIM(Keywords!$A$2:$B$14),A438)))&gt;0,"Negative","Neutral")))</f>
        <v>Positive</v>
      </c>
    </row>
    <row r="439" spans="1:3" hidden="1" x14ac:dyDescent="0.25">
      <c r="A439" t="s">
        <v>2</v>
      </c>
      <c r="B439">
        <v>5</v>
      </c>
      <c r="C439" t="str">
        <f>IF(AND(SUMPRODUCT(--ISNUMBER(SEARCH(TRIM(Keywords!$A$2:$A$16),A439)))&gt;0,
        SUMPRODUCT(--ISNUMBER(SEARCH(TRIM(Keywords!$B$2:$B$14),A439)))&gt;0),"Neutral",
IF(SUMPRODUCT(--ISNUMBER(SEARCH(TRIM(Keywords!$A$2:$A$16),A439)))&gt;0,"Positive",
IF(SUMPRODUCT(--ISNUMBER(SEARCH(TRIM(Keywords!$A$2:$B$14),A439)))&gt;0,"Negative","Neutral")))</f>
        <v>Positive</v>
      </c>
    </row>
    <row r="440" spans="1:3" x14ac:dyDescent="0.25">
      <c r="A440" t="s">
        <v>281</v>
      </c>
      <c r="B440">
        <v>5</v>
      </c>
      <c r="C440" t="str">
        <f>IF(AND(SUMPRODUCT(--ISNUMBER(SEARCH(TRIM(Keywords!$A$2:$A$16),A440)))&gt;0,
        SUMPRODUCT(--ISNUMBER(SEARCH(TRIM(Keywords!$B$2:$B$14),A440)))&gt;0),"Neutral",
IF(SUMPRODUCT(--ISNUMBER(SEARCH(TRIM(Keywords!$A$2:$A$16),A440)))&gt;0,"Positive",
IF(SUMPRODUCT(--ISNUMBER(SEARCH(TRIM(Keywords!$A$2:$B$14),A440)))&gt;0,"Negative","Neutral")))</f>
        <v>Neutral</v>
      </c>
    </row>
    <row r="441" spans="1:3" hidden="1" x14ac:dyDescent="0.25">
      <c r="A441" t="s">
        <v>2</v>
      </c>
      <c r="B441">
        <v>5</v>
      </c>
      <c r="C441" t="str">
        <f>IF(AND(SUMPRODUCT(--ISNUMBER(SEARCH(TRIM(Keywords!$A$2:$A$16),A441)))&gt;0,
        SUMPRODUCT(--ISNUMBER(SEARCH(TRIM(Keywords!$B$2:$B$14),A441)))&gt;0),"Neutral",
IF(SUMPRODUCT(--ISNUMBER(SEARCH(TRIM(Keywords!$A$2:$A$16),A441)))&gt;0,"Positive",
IF(SUMPRODUCT(--ISNUMBER(SEARCH(TRIM(Keywords!$A$2:$B$14),A441)))&gt;0,"Negative","Neutral")))</f>
        <v>Positive</v>
      </c>
    </row>
    <row r="442" spans="1:3" x14ac:dyDescent="0.25">
      <c r="A442" t="s">
        <v>282</v>
      </c>
      <c r="B442">
        <v>5</v>
      </c>
      <c r="C442" t="str">
        <f>IF(AND(SUMPRODUCT(--ISNUMBER(SEARCH(TRIM(Keywords!$A$2:$A$16),A442)))&gt;0,
        SUMPRODUCT(--ISNUMBER(SEARCH(TRIM(Keywords!$B$2:$B$14),A442)))&gt;0),"Neutral",
IF(SUMPRODUCT(--ISNUMBER(SEARCH(TRIM(Keywords!$A$2:$A$16),A442)))&gt;0,"Positive",
IF(SUMPRODUCT(--ISNUMBER(SEARCH(TRIM(Keywords!$A$2:$B$14),A442)))&gt;0,"Negative","Neutral")))</f>
        <v>Neutral</v>
      </c>
    </row>
    <row r="443" spans="1:3" hidden="1" x14ac:dyDescent="0.25">
      <c r="A443" t="s">
        <v>2</v>
      </c>
      <c r="B443">
        <v>5</v>
      </c>
      <c r="C443" t="str">
        <f>IF(AND(SUMPRODUCT(--ISNUMBER(SEARCH(TRIM(Keywords!$A$2:$A$16),A443)))&gt;0,
        SUMPRODUCT(--ISNUMBER(SEARCH(TRIM(Keywords!$B$2:$B$14),A443)))&gt;0),"Neutral",
IF(SUMPRODUCT(--ISNUMBER(SEARCH(TRIM(Keywords!$A$2:$A$16),A443)))&gt;0,"Positive",
IF(SUMPRODUCT(--ISNUMBER(SEARCH(TRIM(Keywords!$A$2:$B$14),A443)))&gt;0,"Negative","Neutral")))</f>
        <v>Positive</v>
      </c>
    </row>
    <row r="444" spans="1:3" hidden="1" x14ac:dyDescent="0.25">
      <c r="A444" t="s">
        <v>283</v>
      </c>
      <c r="B444">
        <v>5</v>
      </c>
      <c r="C444" t="str">
        <f>IF(AND(SUMPRODUCT(--ISNUMBER(SEARCH(TRIM(Keywords!$A$2:$A$16),A444)))&gt;0,
        SUMPRODUCT(--ISNUMBER(SEARCH(TRIM(Keywords!$B$2:$B$14),A444)))&gt;0),"Neutral",
IF(SUMPRODUCT(--ISNUMBER(SEARCH(TRIM(Keywords!$A$2:$A$16),A444)))&gt;0,"Positive",
IF(SUMPRODUCT(--ISNUMBER(SEARCH(TRIM(Keywords!$A$2:$B$14),A444)))&gt;0,"Negative","Neutral")))</f>
        <v>Positive</v>
      </c>
    </row>
    <row r="445" spans="1:3" x14ac:dyDescent="0.25">
      <c r="A445" t="s">
        <v>284</v>
      </c>
      <c r="B445">
        <v>3</v>
      </c>
      <c r="C445" t="str">
        <f>IF(AND(SUMPRODUCT(--ISNUMBER(SEARCH(TRIM(Keywords!$A$2:$A$16),A445)))&gt;0,
        SUMPRODUCT(--ISNUMBER(SEARCH(TRIM(Keywords!$B$2:$B$14),A445)))&gt;0),"Neutral",
IF(SUMPRODUCT(--ISNUMBER(SEARCH(TRIM(Keywords!$A$2:$A$16),A445)))&gt;0,"Positive",
IF(SUMPRODUCT(--ISNUMBER(SEARCH(TRIM(Keywords!$A$2:$B$14),A445)))&gt;0,"Negative","Neutral")))</f>
        <v>Neutral</v>
      </c>
    </row>
    <row r="446" spans="1:3" x14ac:dyDescent="0.25">
      <c r="A446" t="s">
        <v>36</v>
      </c>
      <c r="B446">
        <v>5</v>
      </c>
      <c r="C446" t="str">
        <f>IF(AND(SUMPRODUCT(--ISNUMBER(SEARCH(TRIM(Keywords!$A$2:$A$16),A446)))&gt;0,
        SUMPRODUCT(--ISNUMBER(SEARCH(TRIM(Keywords!$B$2:$B$14),A446)))&gt;0),"Neutral",
IF(SUMPRODUCT(--ISNUMBER(SEARCH(TRIM(Keywords!$A$2:$A$16),A446)))&gt;0,"Positive",
IF(SUMPRODUCT(--ISNUMBER(SEARCH(TRIM(Keywords!$A$2:$B$14),A446)))&gt;0,"Negative","Neutral")))</f>
        <v>Neutral</v>
      </c>
    </row>
    <row r="447" spans="1:3" x14ac:dyDescent="0.25">
      <c r="A447" t="s">
        <v>36</v>
      </c>
      <c r="B447">
        <v>2</v>
      </c>
      <c r="C447" t="str">
        <f>IF(AND(SUMPRODUCT(--ISNUMBER(SEARCH(TRIM(Keywords!$A$2:$A$16),A447)))&gt;0,
        SUMPRODUCT(--ISNUMBER(SEARCH(TRIM(Keywords!$B$2:$B$14),A447)))&gt;0),"Neutral",
IF(SUMPRODUCT(--ISNUMBER(SEARCH(TRIM(Keywords!$A$2:$A$16),A447)))&gt;0,"Positive",
IF(SUMPRODUCT(--ISNUMBER(SEARCH(TRIM(Keywords!$A$2:$B$14),A447)))&gt;0,"Negative","Neutral")))</f>
        <v>Neutral</v>
      </c>
    </row>
    <row r="448" spans="1:3" x14ac:dyDescent="0.25">
      <c r="A448" t="s">
        <v>285</v>
      </c>
      <c r="B448">
        <v>2</v>
      </c>
      <c r="C448" t="str">
        <f>IF(AND(SUMPRODUCT(--ISNUMBER(SEARCH(TRIM(Keywords!$A$2:$A$16),A448)))&gt;0,
        SUMPRODUCT(--ISNUMBER(SEARCH(TRIM(Keywords!$B$2:$B$14),A448)))&gt;0),"Neutral",
IF(SUMPRODUCT(--ISNUMBER(SEARCH(TRIM(Keywords!$A$2:$A$16),A448)))&gt;0,"Positive",
IF(SUMPRODUCT(--ISNUMBER(SEARCH(TRIM(Keywords!$A$2:$B$14),A448)))&gt;0,"Negative","Neutral")))</f>
        <v>Neutral</v>
      </c>
    </row>
    <row r="449" spans="1:3" hidden="1" x14ac:dyDescent="0.25">
      <c r="A449" t="s">
        <v>77</v>
      </c>
      <c r="B449">
        <v>5</v>
      </c>
      <c r="C449" t="str">
        <f>IF(AND(SUMPRODUCT(--ISNUMBER(SEARCH(TRIM(Keywords!$A$2:$A$16),A449)))&gt;0,
        SUMPRODUCT(--ISNUMBER(SEARCH(TRIM(Keywords!$B$2:$B$14),A449)))&gt;0),"Neutral",
IF(SUMPRODUCT(--ISNUMBER(SEARCH(TRIM(Keywords!$A$2:$A$16),A449)))&gt;0,"Positive",
IF(SUMPRODUCT(--ISNUMBER(SEARCH(TRIM(Keywords!$A$2:$B$14),A449)))&gt;0,"Negative","Neutral")))</f>
        <v>Positive</v>
      </c>
    </row>
    <row r="450" spans="1:3" hidden="1" x14ac:dyDescent="0.25">
      <c r="A450" t="s">
        <v>2</v>
      </c>
      <c r="B450">
        <v>5</v>
      </c>
      <c r="C450" t="str">
        <f>IF(AND(SUMPRODUCT(--ISNUMBER(SEARCH(TRIM(Keywords!$A$2:$A$16),A450)))&gt;0,
        SUMPRODUCT(--ISNUMBER(SEARCH(TRIM(Keywords!$B$2:$B$14),A450)))&gt;0),"Neutral",
IF(SUMPRODUCT(--ISNUMBER(SEARCH(TRIM(Keywords!$A$2:$A$16),A450)))&gt;0,"Positive",
IF(SUMPRODUCT(--ISNUMBER(SEARCH(TRIM(Keywords!$A$2:$B$14),A450)))&gt;0,"Negative","Neutral")))</f>
        <v>Positive</v>
      </c>
    </row>
    <row r="451" spans="1:3" x14ac:dyDescent="0.25">
      <c r="A451" t="s">
        <v>286</v>
      </c>
      <c r="B451">
        <v>4</v>
      </c>
      <c r="C451" t="str">
        <f>IF(AND(SUMPRODUCT(--ISNUMBER(SEARCH(TRIM(Keywords!$A$2:$A$16),A451)))&gt;0,
        SUMPRODUCT(--ISNUMBER(SEARCH(TRIM(Keywords!$B$2:$B$14),A451)))&gt;0),"Neutral",
IF(SUMPRODUCT(--ISNUMBER(SEARCH(TRIM(Keywords!$A$2:$A$16),A451)))&gt;0,"Positive",
IF(SUMPRODUCT(--ISNUMBER(SEARCH(TRIM(Keywords!$A$2:$B$14),A451)))&gt;0,"Negative","Neutral")))</f>
        <v>Neutral</v>
      </c>
    </row>
    <row r="452" spans="1:3" x14ac:dyDescent="0.25">
      <c r="A452" t="s">
        <v>287</v>
      </c>
      <c r="B452">
        <v>5</v>
      </c>
      <c r="C452" t="str">
        <f>IF(AND(SUMPRODUCT(--ISNUMBER(SEARCH(TRIM(Keywords!$A$2:$A$16),A452)))&gt;0,
        SUMPRODUCT(--ISNUMBER(SEARCH(TRIM(Keywords!$B$2:$B$14),A452)))&gt;0),"Neutral",
IF(SUMPRODUCT(--ISNUMBER(SEARCH(TRIM(Keywords!$A$2:$A$16),A452)))&gt;0,"Positive",
IF(SUMPRODUCT(--ISNUMBER(SEARCH(TRIM(Keywords!$A$2:$B$14),A452)))&gt;0,"Negative","Neutral")))</f>
        <v>Neutral</v>
      </c>
    </row>
    <row r="453" spans="1:3" hidden="1" x14ac:dyDescent="0.25">
      <c r="A453" t="s">
        <v>2</v>
      </c>
      <c r="B453">
        <v>5</v>
      </c>
      <c r="C453" t="str">
        <f>IF(AND(SUMPRODUCT(--ISNUMBER(SEARCH(TRIM(Keywords!$A$2:$A$16),A453)))&gt;0,
        SUMPRODUCT(--ISNUMBER(SEARCH(TRIM(Keywords!$B$2:$B$14),A453)))&gt;0),"Neutral",
IF(SUMPRODUCT(--ISNUMBER(SEARCH(TRIM(Keywords!$A$2:$A$16),A453)))&gt;0,"Positive",
IF(SUMPRODUCT(--ISNUMBER(SEARCH(TRIM(Keywords!$A$2:$B$14),A453)))&gt;0,"Negative","Neutral")))</f>
        <v>Positive</v>
      </c>
    </row>
    <row r="454" spans="1:3" hidden="1" x14ac:dyDescent="0.25">
      <c r="A454" t="s">
        <v>288</v>
      </c>
      <c r="B454">
        <v>5</v>
      </c>
      <c r="C454" t="str">
        <f>IF(AND(SUMPRODUCT(--ISNUMBER(SEARCH(TRIM(Keywords!$A$2:$A$16),A454)))&gt;0,
        SUMPRODUCT(--ISNUMBER(SEARCH(TRIM(Keywords!$B$2:$B$14),A454)))&gt;0),"Neutral",
IF(SUMPRODUCT(--ISNUMBER(SEARCH(TRIM(Keywords!$A$2:$A$16),A454)))&gt;0,"Positive",
IF(SUMPRODUCT(--ISNUMBER(SEARCH(TRIM(Keywords!$A$2:$B$14),A454)))&gt;0,"Negative","Neutral")))</f>
        <v>Positive</v>
      </c>
    </row>
    <row r="455" spans="1:3" hidden="1" x14ac:dyDescent="0.25">
      <c r="A455" t="s">
        <v>289</v>
      </c>
      <c r="B455">
        <v>1</v>
      </c>
      <c r="C455" t="str">
        <f>IF(AND(SUMPRODUCT(--ISNUMBER(SEARCH(TRIM(Keywords!$A$2:$A$16),A455)))&gt;0,
        SUMPRODUCT(--ISNUMBER(SEARCH(TRIM(Keywords!$B$2:$B$14),A455)))&gt;0),"Neutral",
IF(SUMPRODUCT(--ISNUMBER(SEARCH(TRIM(Keywords!$A$2:$A$16),A455)))&gt;0,"Positive",
IF(SUMPRODUCT(--ISNUMBER(SEARCH(TRIM(Keywords!$A$2:$B$14),A455)))&gt;0,"Negative","Neutral")))</f>
        <v>Negative</v>
      </c>
    </row>
    <row r="456" spans="1:3" hidden="1" x14ac:dyDescent="0.25">
      <c r="A456" t="s">
        <v>2</v>
      </c>
      <c r="B456">
        <v>5</v>
      </c>
      <c r="C456" t="str">
        <f>IF(AND(SUMPRODUCT(--ISNUMBER(SEARCH(TRIM(Keywords!$A$2:$A$16),A456)))&gt;0,
        SUMPRODUCT(--ISNUMBER(SEARCH(TRIM(Keywords!$B$2:$B$14),A456)))&gt;0),"Neutral",
IF(SUMPRODUCT(--ISNUMBER(SEARCH(TRIM(Keywords!$A$2:$A$16),A456)))&gt;0,"Positive",
IF(SUMPRODUCT(--ISNUMBER(SEARCH(TRIM(Keywords!$A$2:$B$14),A456)))&gt;0,"Negative","Neutral")))</f>
        <v>Positive</v>
      </c>
    </row>
    <row r="457" spans="1:3" x14ac:dyDescent="0.25">
      <c r="A457" t="s">
        <v>290</v>
      </c>
      <c r="B457">
        <v>3</v>
      </c>
      <c r="C457" t="str">
        <f>IF(AND(SUMPRODUCT(--ISNUMBER(SEARCH(TRIM(Keywords!$A$2:$A$16),A457)))&gt;0,
        SUMPRODUCT(--ISNUMBER(SEARCH(TRIM(Keywords!$B$2:$B$14),A457)))&gt;0),"Neutral",
IF(SUMPRODUCT(--ISNUMBER(SEARCH(TRIM(Keywords!$A$2:$A$16),A457)))&gt;0,"Positive",
IF(SUMPRODUCT(--ISNUMBER(SEARCH(TRIM(Keywords!$A$2:$B$14),A457)))&gt;0,"Negative","Neutral")))</f>
        <v>Neutral</v>
      </c>
    </row>
    <row r="458" spans="1:3" hidden="1" x14ac:dyDescent="0.25">
      <c r="A458" t="s">
        <v>291</v>
      </c>
      <c r="B458">
        <v>1</v>
      </c>
      <c r="C458" t="str">
        <f>IF(AND(SUMPRODUCT(--ISNUMBER(SEARCH(TRIM(Keywords!$A$2:$A$16),A458)))&gt;0,
        SUMPRODUCT(--ISNUMBER(SEARCH(TRIM(Keywords!$B$2:$B$14),A458)))&gt;0),"Neutral",
IF(SUMPRODUCT(--ISNUMBER(SEARCH(TRIM(Keywords!$A$2:$A$16),A458)))&gt;0,"Positive",
IF(SUMPRODUCT(--ISNUMBER(SEARCH(TRIM(Keywords!$A$2:$B$14),A458)))&gt;0,"Negative","Neutral")))</f>
        <v>Negative</v>
      </c>
    </row>
    <row r="459" spans="1:3" hidden="1" x14ac:dyDescent="0.25">
      <c r="A459" t="s">
        <v>2</v>
      </c>
      <c r="B459">
        <v>5</v>
      </c>
      <c r="C459" t="str">
        <f>IF(AND(SUMPRODUCT(--ISNUMBER(SEARCH(TRIM(Keywords!$A$2:$A$16),A459)))&gt;0,
        SUMPRODUCT(--ISNUMBER(SEARCH(TRIM(Keywords!$B$2:$B$14),A459)))&gt;0),"Neutral",
IF(SUMPRODUCT(--ISNUMBER(SEARCH(TRIM(Keywords!$A$2:$A$16),A459)))&gt;0,"Positive",
IF(SUMPRODUCT(--ISNUMBER(SEARCH(TRIM(Keywords!$A$2:$B$14),A459)))&gt;0,"Negative","Neutral")))</f>
        <v>Positive</v>
      </c>
    </row>
    <row r="460" spans="1:3" x14ac:dyDescent="0.25">
      <c r="A460" t="s">
        <v>292</v>
      </c>
      <c r="B460">
        <v>5</v>
      </c>
      <c r="C460" t="str">
        <f>IF(AND(SUMPRODUCT(--ISNUMBER(SEARCH(TRIM(Keywords!$A$2:$A$16),A460)))&gt;0,
        SUMPRODUCT(--ISNUMBER(SEARCH(TRIM(Keywords!$B$2:$B$14),A460)))&gt;0),"Neutral",
IF(SUMPRODUCT(--ISNUMBER(SEARCH(TRIM(Keywords!$A$2:$A$16),A460)))&gt;0,"Positive",
IF(SUMPRODUCT(--ISNUMBER(SEARCH(TRIM(Keywords!$A$2:$B$14),A460)))&gt;0,"Negative","Neutral")))</f>
        <v>Neutral</v>
      </c>
    </row>
    <row r="461" spans="1:3" x14ac:dyDescent="0.25">
      <c r="A461" t="s">
        <v>293</v>
      </c>
      <c r="B461">
        <v>1</v>
      </c>
      <c r="C461" t="str">
        <f>IF(AND(SUMPRODUCT(--ISNUMBER(SEARCH(TRIM(Keywords!$A$2:$A$16),A461)))&gt;0,
        SUMPRODUCT(--ISNUMBER(SEARCH(TRIM(Keywords!$B$2:$B$14),A461)))&gt;0),"Neutral",
IF(SUMPRODUCT(--ISNUMBER(SEARCH(TRIM(Keywords!$A$2:$A$16),A461)))&gt;0,"Positive",
IF(SUMPRODUCT(--ISNUMBER(SEARCH(TRIM(Keywords!$A$2:$B$14),A461)))&gt;0,"Negative","Neutral")))</f>
        <v>Neutral</v>
      </c>
    </row>
    <row r="462" spans="1:3" x14ac:dyDescent="0.25">
      <c r="A462" t="s">
        <v>294</v>
      </c>
      <c r="B462">
        <v>5</v>
      </c>
      <c r="C462" t="str">
        <f>IF(AND(SUMPRODUCT(--ISNUMBER(SEARCH(TRIM(Keywords!$A$2:$A$16),A462)))&gt;0,
        SUMPRODUCT(--ISNUMBER(SEARCH(TRIM(Keywords!$B$2:$B$14),A462)))&gt;0),"Neutral",
IF(SUMPRODUCT(--ISNUMBER(SEARCH(TRIM(Keywords!$A$2:$A$16),A462)))&gt;0,"Positive",
IF(SUMPRODUCT(--ISNUMBER(SEARCH(TRIM(Keywords!$A$2:$B$14),A462)))&gt;0,"Negative","Neutral")))</f>
        <v>Neutral</v>
      </c>
    </row>
    <row r="463" spans="1:3" hidden="1" x14ac:dyDescent="0.25">
      <c r="A463" t="s">
        <v>38</v>
      </c>
      <c r="B463">
        <v>5</v>
      </c>
      <c r="C463" t="str">
        <f>IF(AND(SUMPRODUCT(--ISNUMBER(SEARCH(TRIM(Keywords!$A$2:$A$16),A463)))&gt;0,
        SUMPRODUCT(--ISNUMBER(SEARCH(TRIM(Keywords!$B$2:$B$14),A463)))&gt;0),"Neutral",
IF(SUMPRODUCT(--ISNUMBER(SEARCH(TRIM(Keywords!$A$2:$A$16),A463)))&gt;0,"Positive",
IF(SUMPRODUCT(--ISNUMBER(SEARCH(TRIM(Keywords!$A$2:$B$14),A463)))&gt;0,"Negative","Neutral")))</f>
        <v>Positive</v>
      </c>
    </row>
    <row r="464" spans="1:3" hidden="1" x14ac:dyDescent="0.25">
      <c r="A464" t="s">
        <v>24</v>
      </c>
      <c r="B464">
        <v>5</v>
      </c>
      <c r="C464" t="str">
        <f>IF(AND(SUMPRODUCT(--ISNUMBER(SEARCH(TRIM(Keywords!$A$2:$A$16),A464)))&gt;0,
        SUMPRODUCT(--ISNUMBER(SEARCH(TRIM(Keywords!$B$2:$B$14),A464)))&gt;0),"Neutral",
IF(SUMPRODUCT(--ISNUMBER(SEARCH(TRIM(Keywords!$A$2:$A$16),A464)))&gt;0,"Positive",
IF(SUMPRODUCT(--ISNUMBER(SEARCH(TRIM(Keywords!$A$2:$B$14),A464)))&gt;0,"Negative","Neutral")))</f>
        <v>Positive</v>
      </c>
    </row>
    <row r="465" spans="1:3" x14ac:dyDescent="0.25">
      <c r="A465" t="s">
        <v>36</v>
      </c>
      <c r="B465">
        <v>3</v>
      </c>
      <c r="C465" t="str">
        <f>IF(AND(SUMPRODUCT(--ISNUMBER(SEARCH(TRIM(Keywords!$A$2:$A$16),A465)))&gt;0,
        SUMPRODUCT(--ISNUMBER(SEARCH(TRIM(Keywords!$B$2:$B$14),A465)))&gt;0),"Neutral",
IF(SUMPRODUCT(--ISNUMBER(SEARCH(TRIM(Keywords!$A$2:$A$16),A465)))&gt;0,"Positive",
IF(SUMPRODUCT(--ISNUMBER(SEARCH(TRIM(Keywords!$A$2:$B$14),A465)))&gt;0,"Negative","Neutral")))</f>
        <v>Neutral</v>
      </c>
    </row>
    <row r="466" spans="1:3" x14ac:dyDescent="0.25">
      <c r="A466" t="s">
        <v>295</v>
      </c>
      <c r="B466">
        <v>5</v>
      </c>
      <c r="C466" t="str">
        <f>IF(AND(SUMPRODUCT(--ISNUMBER(SEARCH(TRIM(Keywords!$A$2:$A$16),A466)))&gt;0,
        SUMPRODUCT(--ISNUMBER(SEARCH(TRIM(Keywords!$B$2:$B$14),A466)))&gt;0),"Neutral",
IF(SUMPRODUCT(--ISNUMBER(SEARCH(TRIM(Keywords!$A$2:$A$16),A466)))&gt;0,"Positive",
IF(SUMPRODUCT(--ISNUMBER(SEARCH(TRIM(Keywords!$A$2:$B$14),A466)))&gt;0,"Negative","Neutral")))</f>
        <v>Neutral</v>
      </c>
    </row>
    <row r="467" spans="1:3" hidden="1" x14ac:dyDescent="0.25">
      <c r="A467" t="s">
        <v>37</v>
      </c>
      <c r="B467">
        <v>5</v>
      </c>
      <c r="C467" t="str">
        <f>IF(AND(SUMPRODUCT(--ISNUMBER(SEARCH(TRIM(Keywords!$A$2:$A$16),A467)))&gt;0,
        SUMPRODUCT(--ISNUMBER(SEARCH(TRIM(Keywords!$B$2:$B$14),A467)))&gt;0),"Neutral",
IF(SUMPRODUCT(--ISNUMBER(SEARCH(TRIM(Keywords!$A$2:$A$16),A467)))&gt;0,"Positive",
IF(SUMPRODUCT(--ISNUMBER(SEARCH(TRIM(Keywords!$A$2:$B$14),A467)))&gt;0,"Negative","Neutral")))</f>
        <v>Positive</v>
      </c>
    </row>
    <row r="468" spans="1:3" hidden="1" x14ac:dyDescent="0.25">
      <c r="A468" t="s">
        <v>2</v>
      </c>
      <c r="B468">
        <v>4</v>
      </c>
      <c r="C468" t="str">
        <f>IF(AND(SUMPRODUCT(--ISNUMBER(SEARCH(TRIM(Keywords!$A$2:$A$16),A468)))&gt;0,
        SUMPRODUCT(--ISNUMBER(SEARCH(TRIM(Keywords!$B$2:$B$14),A468)))&gt;0),"Neutral",
IF(SUMPRODUCT(--ISNUMBER(SEARCH(TRIM(Keywords!$A$2:$A$16),A468)))&gt;0,"Positive",
IF(SUMPRODUCT(--ISNUMBER(SEARCH(TRIM(Keywords!$A$2:$B$14),A468)))&gt;0,"Negative","Neutral")))</f>
        <v>Positive</v>
      </c>
    </row>
    <row r="469" spans="1:3" hidden="1" x14ac:dyDescent="0.25">
      <c r="A469" t="s">
        <v>2</v>
      </c>
      <c r="B469">
        <v>5</v>
      </c>
      <c r="C469" t="str">
        <f>IF(AND(SUMPRODUCT(--ISNUMBER(SEARCH(TRIM(Keywords!$A$2:$A$16),A469)))&gt;0,
        SUMPRODUCT(--ISNUMBER(SEARCH(TRIM(Keywords!$B$2:$B$14),A469)))&gt;0),"Neutral",
IF(SUMPRODUCT(--ISNUMBER(SEARCH(TRIM(Keywords!$A$2:$A$16),A469)))&gt;0,"Positive",
IF(SUMPRODUCT(--ISNUMBER(SEARCH(TRIM(Keywords!$A$2:$B$14),A469)))&gt;0,"Negative","Neutral")))</f>
        <v>Positive</v>
      </c>
    </row>
    <row r="470" spans="1:3" x14ac:dyDescent="0.25">
      <c r="A470" t="s">
        <v>296</v>
      </c>
      <c r="B470">
        <v>3</v>
      </c>
      <c r="C470" t="str">
        <f>IF(AND(SUMPRODUCT(--ISNUMBER(SEARCH(TRIM(Keywords!$A$2:$A$16),A470)))&gt;0,
        SUMPRODUCT(--ISNUMBER(SEARCH(TRIM(Keywords!$B$2:$B$14),A470)))&gt;0),"Neutral",
IF(SUMPRODUCT(--ISNUMBER(SEARCH(TRIM(Keywords!$A$2:$A$16),A470)))&gt;0,"Positive",
IF(SUMPRODUCT(--ISNUMBER(SEARCH(TRIM(Keywords!$A$2:$B$14),A470)))&gt;0,"Negative","Neutral")))</f>
        <v>Neutral</v>
      </c>
    </row>
    <row r="471" spans="1:3" hidden="1" x14ac:dyDescent="0.25">
      <c r="A471" t="s">
        <v>2</v>
      </c>
      <c r="B471">
        <v>5</v>
      </c>
      <c r="C471" t="str">
        <f>IF(AND(SUMPRODUCT(--ISNUMBER(SEARCH(TRIM(Keywords!$A$2:$A$16),A471)))&gt;0,
        SUMPRODUCT(--ISNUMBER(SEARCH(TRIM(Keywords!$B$2:$B$14),A471)))&gt;0),"Neutral",
IF(SUMPRODUCT(--ISNUMBER(SEARCH(TRIM(Keywords!$A$2:$A$16),A471)))&gt;0,"Positive",
IF(SUMPRODUCT(--ISNUMBER(SEARCH(TRIM(Keywords!$A$2:$B$14),A471)))&gt;0,"Negative","Neutral")))</f>
        <v>Positive</v>
      </c>
    </row>
    <row r="472" spans="1:3" x14ac:dyDescent="0.25">
      <c r="A472" t="s">
        <v>297</v>
      </c>
      <c r="B472">
        <v>5</v>
      </c>
      <c r="C472" t="str">
        <f>IF(AND(SUMPRODUCT(--ISNUMBER(SEARCH(TRIM(Keywords!$A$2:$A$16),A472)))&gt;0,
        SUMPRODUCT(--ISNUMBER(SEARCH(TRIM(Keywords!$B$2:$B$14),A472)))&gt;0),"Neutral",
IF(SUMPRODUCT(--ISNUMBER(SEARCH(TRIM(Keywords!$A$2:$A$16),A472)))&gt;0,"Positive",
IF(SUMPRODUCT(--ISNUMBER(SEARCH(TRIM(Keywords!$A$2:$B$14),A472)))&gt;0,"Negative","Neutral")))</f>
        <v>Neutral</v>
      </c>
    </row>
    <row r="473" spans="1:3" x14ac:dyDescent="0.25">
      <c r="A473" t="s">
        <v>298</v>
      </c>
      <c r="B473">
        <v>5</v>
      </c>
      <c r="C473" t="str">
        <f>IF(AND(SUMPRODUCT(--ISNUMBER(SEARCH(TRIM(Keywords!$A$2:$A$16),A473)))&gt;0,
        SUMPRODUCT(--ISNUMBER(SEARCH(TRIM(Keywords!$B$2:$B$14),A473)))&gt;0),"Neutral",
IF(SUMPRODUCT(--ISNUMBER(SEARCH(TRIM(Keywords!$A$2:$A$16),A473)))&gt;0,"Positive",
IF(SUMPRODUCT(--ISNUMBER(SEARCH(TRIM(Keywords!$A$2:$B$14),A473)))&gt;0,"Negative","Neutral")))</f>
        <v>Neutral</v>
      </c>
    </row>
    <row r="474" spans="1:3" x14ac:dyDescent="0.25">
      <c r="A474" t="s">
        <v>299</v>
      </c>
      <c r="B474">
        <v>3</v>
      </c>
      <c r="C474" t="str">
        <f>IF(AND(SUMPRODUCT(--ISNUMBER(SEARCH(TRIM(Keywords!$A$2:$A$16),A474)))&gt;0,
        SUMPRODUCT(--ISNUMBER(SEARCH(TRIM(Keywords!$B$2:$B$14),A474)))&gt;0),"Neutral",
IF(SUMPRODUCT(--ISNUMBER(SEARCH(TRIM(Keywords!$A$2:$A$16),A474)))&gt;0,"Positive",
IF(SUMPRODUCT(--ISNUMBER(SEARCH(TRIM(Keywords!$A$2:$B$14),A474)))&gt;0,"Negative","Neutral")))</f>
        <v>Neutral</v>
      </c>
    </row>
    <row r="475" spans="1:3" x14ac:dyDescent="0.25">
      <c r="A475" t="s">
        <v>222</v>
      </c>
      <c r="B475">
        <v>3</v>
      </c>
      <c r="C475" t="str">
        <f>IF(AND(SUMPRODUCT(--ISNUMBER(SEARCH(TRIM(Keywords!$A$2:$A$16),A475)))&gt;0,
        SUMPRODUCT(--ISNUMBER(SEARCH(TRIM(Keywords!$B$2:$B$14),A475)))&gt;0),"Neutral",
IF(SUMPRODUCT(--ISNUMBER(SEARCH(TRIM(Keywords!$A$2:$A$16),A475)))&gt;0,"Positive",
IF(SUMPRODUCT(--ISNUMBER(SEARCH(TRIM(Keywords!$A$2:$B$14),A475)))&gt;0,"Negative","Neutral")))</f>
        <v>Neutral</v>
      </c>
    </row>
    <row r="476" spans="1:3" hidden="1" x14ac:dyDescent="0.25">
      <c r="A476" t="s">
        <v>300</v>
      </c>
      <c r="B476">
        <v>5</v>
      </c>
      <c r="C476" t="str">
        <f>IF(AND(SUMPRODUCT(--ISNUMBER(SEARCH(TRIM(Keywords!$A$2:$A$16),A476)))&gt;0,
        SUMPRODUCT(--ISNUMBER(SEARCH(TRIM(Keywords!$B$2:$B$14),A476)))&gt;0),"Neutral",
IF(SUMPRODUCT(--ISNUMBER(SEARCH(TRIM(Keywords!$A$2:$A$16),A476)))&gt;0,"Positive",
IF(SUMPRODUCT(--ISNUMBER(SEARCH(TRIM(Keywords!$A$2:$B$14),A476)))&gt;0,"Negative","Neutral")))</f>
        <v>Positive</v>
      </c>
    </row>
    <row r="477" spans="1:3" hidden="1" x14ac:dyDescent="0.25">
      <c r="A477" t="s">
        <v>237</v>
      </c>
      <c r="B477">
        <v>5</v>
      </c>
      <c r="C477" t="str">
        <f>IF(AND(SUMPRODUCT(--ISNUMBER(SEARCH(TRIM(Keywords!$A$2:$A$16),A477)))&gt;0,
        SUMPRODUCT(--ISNUMBER(SEARCH(TRIM(Keywords!$B$2:$B$14),A477)))&gt;0),"Neutral",
IF(SUMPRODUCT(--ISNUMBER(SEARCH(TRIM(Keywords!$A$2:$A$16),A477)))&gt;0,"Positive",
IF(SUMPRODUCT(--ISNUMBER(SEARCH(TRIM(Keywords!$A$2:$B$14),A477)))&gt;0,"Negative","Neutral")))</f>
        <v>Positive</v>
      </c>
    </row>
    <row r="478" spans="1:3" x14ac:dyDescent="0.25">
      <c r="A478" t="s">
        <v>301</v>
      </c>
      <c r="B478">
        <v>3</v>
      </c>
      <c r="C478" t="str">
        <f>IF(AND(SUMPRODUCT(--ISNUMBER(SEARCH(TRIM(Keywords!$A$2:$A$16),A478)))&gt;0,
        SUMPRODUCT(--ISNUMBER(SEARCH(TRIM(Keywords!$B$2:$B$14),A478)))&gt;0),"Neutral",
IF(SUMPRODUCT(--ISNUMBER(SEARCH(TRIM(Keywords!$A$2:$A$16),A478)))&gt;0,"Positive",
IF(SUMPRODUCT(--ISNUMBER(SEARCH(TRIM(Keywords!$A$2:$B$14),A478)))&gt;0,"Negative","Neutral")))</f>
        <v>Neutral</v>
      </c>
    </row>
    <row r="479" spans="1:3" x14ac:dyDescent="0.25">
      <c r="A479" t="s">
        <v>34</v>
      </c>
      <c r="B479">
        <v>5</v>
      </c>
      <c r="C479" t="str">
        <f>IF(AND(SUMPRODUCT(--ISNUMBER(SEARCH(TRIM(Keywords!$A$2:$A$16),A479)))&gt;0,
        SUMPRODUCT(--ISNUMBER(SEARCH(TRIM(Keywords!$B$2:$B$14),A479)))&gt;0),"Neutral",
IF(SUMPRODUCT(--ISNUMBER(SEARCH(TRIM(Keywords!$A$2:$A$16),A479)))&gt;0,"Positive",
IF(SUMPRODUCT(--ISNUMBER(SEARCH(TRIM(Keywords!$A$2:$B$14),A479)))&gt;0,"Negative","Neutral")))</f>
        <v>Neutral</v>
      </c>
    </row>
    <row r="480" spans="1:3" x14ac:dyDescent="0.25">
      <c r="A480" t="s">
        <v>302</v>
      </c>
      <c r="B480">
        <v>3</v>
      </c>
      <c r="C480" t="str">
        <f>IF(AND(SUMPRODUCT(--ISNUMBER(SEARCH(TRIM(Keywords!$A$2:$A$16),A480)))&gt;0,
        SUMPRODUCT(--ISNUMBER(SEARCH(TRIM(Keywords!$B$2:$B$14),A480)))&gt;0),"Neutral",
IF(SUMPRODUCT(--ISNUMBER(SEARCH(TRIM(Keywords!$A$2:$A$16),A480)))&gt;0,"Positive",
IF(SUMPRODUCT(--ISNUMBER(SEARCH(TRIM(Keywords!$A$2:$B$14),A480)))&gt;0,"Negative","Neutral")))</f>
        <v>Neutral</v>
      </c>
    </row>
    <row r="481" spans="1:3" hidden="1" x14ac:dyDescent="0.25">
      <c r="A481" t="s">
        <v>37</v>
      </c>
      <c r="B481">
        <v>1</v>
      </c>
      <c r="C481" t="str">
        <f>IF(AND(SUMPRODUCT(--ISNUMBER(SEARCH(TRIM(Keywords!$A$2:$A$16),A481)))&gt;0,
        SUMPRODUCT(--ISNUMBER(SEARCH(TRIM(Keywords!$B$2:$B$14),A481)))&gt;0),"Neutral",
IF(SUMPRODUCT(--ISNUMBER(SEARCH(TRIM(Keywords!$A$2:$A$16),A481)))&gt;0,"Positive",
IF(SUMPRODUCT(--ISNUMBER(SEARCH(TRIM(Keywords!$A$2:$B$14),A481)))&gt;0,"Negative","Neutral")))</f>
        <v>Positive</v>
      </c>
    </row>
    <row r="482" spans="1:3" x14ac:dyDescent="0.25">
      <c r="A482" t="s">
        <v>303</v>
      </c>
      <c r="B482">
        <v>5</v>
      </c>
      <c r="C482" t="str">
        <f>IF(AND(SUMPRODUCT(--ISNUMBER(SEARCH(TRIM(Keywords!$A$2:$A$16),A482)))&gt;0,
        SUMPRODUCT(--ISNUMBER(SEARCH(TRIM(Keywords!$B$2:$B$14),A482)))&gt;0),"Neutral",
IF(SUMPRODUCT(--ISNUMBER(SEARCH(TRIM(Keywords!$A$2:$A$16),A482)))&gt;0,"Positive",
IF(SUMPRODUCT(--ISNUMBER(SEARCH(TRIM(Keywords!$A$2:$B$14),A482)))&gt;0,"Negative","Neutral")))</f>
        <v>Neutral</v>
      </c>
    </row>
    <row r="483" spans="1:3" x14ac:dyDescent="0.25">
      <c r="A483" t="s">
        <v>304</v>
      </c>
      <c r="B483">
        <v>1</v>
      </c>
      <c r="C483" t="str">
        <f>IF(AND(SUMPRODUCT(--ISNUMBER(SEARCH(TRIM(Keywords!$A$2:$A$16),A483)))&gt;0,
        SUMPRODUCT(--ISNUMBER(SEARCH(TRIM(Keywords!$B$2:$B$14),A483)))&gt;0),"Neutral",
IF(SUMPRODUCT(--ISNUMBER(SEARCH(TRIM(Keywords!$A$2:$A$16),A483)))&gt;0,"Positive",
IF(SUMPRODUCT(--ISNUMBER(SEARCH(TRIM(Keywords!$A$2:$B$14),A483)))&gt;0,"Negative","Neutral")))</f>
        <v>Neutral</v>
      </c>
    </row>
    <row r="484" spans="1:3" x14ac:dyDescent="0.25">
      <c r="A484" t="s">
        <v>305</v>
      </c>
      <c r="B484">
        <v>5</v>
      </c>
      <c r="C484" t="str">
        <f>IF(AND(SUMPRODUCT(--ISNUMBER(SEARCH(TRIM(Keywords!$A$2:$A$16),A484)))&gt;0,
        SUMPRODUCT(--ISNUMBER(SEARCH(TRIM(Keywords!$B$2:$B$14),A484)))&gt;0),"Neutral",
IF(SUMPRODUCT(--ISNUMBER(SEARCH(TRIM(Keywords!$A$2:$A$16),A484)))&gt;0,"Positive",
IF(SUMPRODUCT(--ISNUMBER(SEARCH(TRIM(Keywords!$A$2:$B$14),A484)))&gt;0,"Negative","Neutral")))</f>
        <v>Neutral</v>
      </c>
    </row>
    <row r="485" spans="1:3" hidden="1" x14ac:dyDescent="0.25">
      <c r="A485" t="s">
        <v>306</v>
      </c>
      <c r="B485">
        <v>5</v>
      </c>
      <c r="C485" t="str">
        <f>IF(AND(SUMPRODUCT(--ISNUMBER(SEARCH(TRIM(Keywords!$A$2:$A$16),A485)))&gt;0,
        SUMPRODUCT(--ISNUMBER(SEARCH(TRIM(Keywords!$B$2:$B$14),A485)))&gt;0),"Neutral",
IF(SUMPRODUCT(--ISNUMBER(SEARCH(TRIM(Keywords!$A$2:$A$16),A485)))&gt;0,"Positive",
IF(SUMPRODUCT(--ISNUMBER(SEARCH(TRIM(Keywords!$A$2:$B$14),A485)))&gt;0,"Negative","Neutral")))</f>
        <v>Positive</v>
      </c>
    </row>
    <row r="486" spans="1:3" x14ac:dyDescent="0.25">
      <c r="A486" t="s">
        <v>307</v>
      </c>
      <c r="B486">
        <v>3</v>
      </c>
      <c r="C486" t="str">
        <f>IF(AND(SUMPRODUCT(--ISNUMBER(SEARCH(TRIM(Keywords!$A$2:$A$16),A486)))&gt;0,
        SUMPRODUCT(--ISNUMBER(SEARCH(TRIM(Keywords!$B$2:$B$14),A486)))&gt;0),"Neutral",
IF(SUMPRODUCT(--ISNUMBER(SEARCH(TRIM(Keywords!$A$2:$A$16),A486)))&gt;0,"Positive",
IF(SUMPRODUCT(--ISNUMBER(SEARCH(TRIM(Keywords!$A$2:$B$14),A486)))&gt;0,"Negative","Neutral")))</f>
        <v>Neutral</v>
      </c>
    </row>
    <row r="487" spans="1:3" x14ac:dyDescent="0.25">
      <c r="A487" t="s">
        <v>308</v>
      </c>
      <c r="B487">
        <v>3</v>
      </c>
      <c r="C487" t="str">
        <f>IF(AND(SUMPRODUCT(--ISNUMBER(SEARCH(TRIM(Keywords!$A$2:$A$16),A487)))&gt;0,
        SUMPRODUCT(--ISNUMBER(SEARCH(TRIM(Keywords!$B$2:$B$14),A487)))&gt;0),"Neutral",
IF(SUMPRODUCT(--ISNUMBER(SEARCH(TRIM(Keywords!$A$2:$A$16),A487)))&gt;0,"Positive",
IF(SUMPRODUCT(--ISNUMBER(SEARCH(TRIM(Keywords!$A$2:$B$14),A487)))&gt;0,"Negative","Neutral")))</f>
        <v>Neutral</v>
      </c>
    </row>
    <row r="488" spans="1:3" x14ac:dyDescent="0.25">
      <c r="A488" t="s">
        <v>36</v>
      </c>
      <c r="B488">
        <v>3</v>
      </c>
      <c r="C488" t="str">
        <f>IF(AND(SUMPRODUCT(--ISNUMBER(SEARCH(TRIM(Keywords!$A$2:$A$16),A488)))&gt;0,
        SUMPRODUCT(--ISNUMBER(SEARCH(TRIM(Keywords!$B$2:$B$14),A488)))&gt;0),"Neutral",
IF(SUMPRODUCT(--ISNUMBER(SEARCH(TRIM(Keywords!$A$2:$A$16),A488)))&gt;0,"Positive",
IF(SUMPRODUCT(--ISNUMBER(SEARCH(TRIM(Keywords!$A$2:$B$14),A488)))&gt;0,"Negative","Neutral")))</f>
        <v>Neutral</v>
      </c>
    </row>
    <row r="489" spans="1:3" x14ac:dyDescent="0.25">
      <c r="A489" t="s">
        <v>309</v>
      </c>
      <c r="B489">
        <v>3</v>
      </c>
      <c r="C489" t="str">
        <f>IF(AND(SUMPRODUCT(--ISNUMBER(SEARCH(TRIM(Keywords!$A$2:$A$16),A489)))&gt;0,
        SUMPRODUCT(--ISNUMBER(SEARCH(TRIM(Keywords!$B$2:$B$14),A489)))&gt;0),"Neutral",
IF(SUMPRODUCT(--ISNUMBER(SEARCH(TRIM(Keywords!$A$2:$A$16),A489)))&gt;0,"Positive",
IF(SUMPRODUCT(--ISNUMBER(SEARCH(TRIM(Keywords!$A$2:$B$14),A489)))&gt;0,"Negative","Neutral")))</f>
        <v>Neutral</v>
      </c>
    </row>
    <row r="490" spans="1:3" hidden="1" x14ac:dyDescent="0.25">
      <c r="A490" t="s">
        <v>310</v>
      </c>
      <c r="B490">
        <v>5</v>
      </c>
      <c r="C490" t="str">
        <f>IF(AND(SUMPRODUCT(--ISNUMBER(SEARCH(TRIM(Keywords!$A$2:$A$16),A490)))&gt;0,
        SUMPRODUCT(--ISNUMBER(SEARCH(TRIM(Keywords!$B$2:$B$14),A490)))&gt;0),"Neutral",
IF(SUMPRODUCT(--ISNUMBER(SEARCH(TRIM(Keywords!$A$2:$A$16),A490)))&gt;0,"Positive",
IF(SUMPRODUCT(--ISNUMBER(SEARCH(TRIM(Keywords!$A$2:$B$14),A490)))&gt;0,"Negative","Neutral")))</f>
        <v>Positive</v>
      </c>
    </row>
    <row r="491" spans="1:3" x14ac:dyDescent="0.25">
      <c r="A491" t="s">
        <v>311</v>
      </c>
      <c r="B491">
        <v>5</v>
      </c>
      <c r="C491" t="str">
        <f>IF(AND(SUMPRODUCT(--ISNUMBER(SEARCH(TRIM(Keywords!$A$2:$A$16),A491)))&gt;0,
        SUMPRODUCT(--ISNUMBER(SEARCH(TRIM(Keywords!$B$2:$B$14),A491)))&gt;0),"Neutral",
IF(SUMPRODUCT(--ISNUMBER(SEARCH(TRIM(Keywords!$A$2:$A$16),A491)))&gt;0,"Positive",
IF(SUMPRODUCT(--ISNUMBER(SEARCH(TRIM(Keywords!$A$2:$B$14),A491)))&gt;0,"Negative","Neutral")))</f>
        <v>Neutral</v>
      </c>
    </row>
    <row r="492" spans="1:3" hidden="1" x14ac:dyDescent="0.25">
      <c r="A492" t="s">
        <v>2</v>
      </c>
      <c r="B492">
        <v>5</v>
      </c>
      <c r="C492" t="str">
        <f>IF(AND(SUMPRODUCT(--ISNUMBER(SEARCH(TRIM(Keywords!$A$2:$A$16),A492)))&gt;0,
        SUMPRODUCT(--ISNUMBER(SEARCH(TRIM(Keywords!$B$2:$B$14),A492)))&gt;0),"Neutral",
IF(SUMPRODUCT(--ISNUMBER(SEARCH(TRIM(Keywords!$A$2:$A$16),A492)))&gt;0,"Positive",
IF(SUMPRODUCT(--ISNUMBER(SEARCH(TRIM(Keywords!$A$2:$B$14),A492)))&gt;0,"Negative","Neutral")))</f>
        <v>Positive</v>
      </c>
    </row>
    <row r="493" spans="1:3" x14ac:dyDescent="0.25">
      <c r="A493" t="s">
        <v>312</v>
      </c>
      <c r="B493">
        <v>5</v>
      </c>
      <c r="C493" t="str">
        <f>IF(AND(SUMPRODUCT(--ISNUMBER(SEARCH(TRIM(Keywords!$A$2:$A$16),A493)))&gt;0,
        SUMPRODUCT(--ISNUMBER(SEARCH(TRIM(Keywords!$B$2:$B$14),A493)))&gt;0),"Neutral",
IF(SUMPRODUCT(--ISNUMBER(SEARCH(TRIM(Keywords!$A$2:$A$16),A493)))&gt;0,"Positive",
IF(SUMPRODUCT(--ISNUMBER(SEARCH(TRIM(Keywords!$A$2:$B$14),A493)))&gt;0,"Negative","Neutral")))</f>
        <v>Neutral</v>
      </c>
    </row>
    <row r="494" spans="1:3" x14ac:dyDescent="0.25">
      <c r="A494" t="s">
        <v>313</v>
      </c>
      <c r="B494">
        <v>5</v>
      </c>
      <c r="C494" t="str">
        <f>IF(AND(SUMPRODUCT(--ISNUMBER(SEARCH(TRIM(Keywords!$A$2:$A$16),A494)))&gt;0,
        SUMPRODUCT(--ISNUMBER(SEARCH(TRIM(Keywords!$B$2:$B$14),A494)))&gt;0),"Neutral",
IF(SUMPRODUCT(--ISNUMBER(SEARCH(TRIM(Keywords!$A$2:$A$16),A494)))&gt;0,"Positive",
IF(SUMPRODUCT(--ISNUMBER(SEARCH(TRIM(Keywords!$A$2:$B$14),A494)))&gt;0,"Negative","Neutral")))</f>
        <v>Neutral</v>
      </c>
    </row>
    <row r="495" spans="1:3" hidden="1" x14ac:dyDescent="0.25">
      <c r="A495" t="s">
        <v>2</v>
      </c>
      <c r="B495">
        <v>5</v>
      </c>
      <c r="C495" t="str">
        <f>IF(AND(SUMPRODUCT(--ISNUMBER(SEARCH(TRIM(Keywords!$A$2:$A$16),A495)))&gt;0,
        SUMPRODUCT(--ISNUMBER(SEARCH(TRIM(Keywords!$B$2:$B$14),A495)))&gt;0),"Neutral",
IF(SUMPRODUCT(--ISNUMBER(SEARCH(TRIM(Keywords!$A$2:$A$16),A495)))&gt;0,"Positive",
IF(SUMPRODUCT(--ISNUMBER(SEARCH(TRIM(Keywords!$A$2:$B$14),A495)))&gt;0,"Negative","Neutral")))</f>
        <v>Positive</v>
      </c>
    </row>
    <row r="496" spans="1:3" x14ac:dyDescent="0.25">
      <c r="A496" t="s">
        <v>314</v>
      </c>
      <c r="B496">
        <v>5</v>
      </c>
      <c r="C496" t="str">
        <f>IF(AND(SUMPRODUCT(--ISNUMBER(SEARCH(TRIM(Keywords!$A$2:$A$16),A496)))&gt;0,
        SUMPRODUCT(--ISNUMBER(SEARCH(TRIM(Keywords!$B$2:$B$14),A496)))&gt;0),"Neutral",
IF(SUMPRODUCT(--ISNUMBER(SEARCH(TRIM(Keywords!$A$2:$A$16),A496)))&gt;0,"Positive",
IF(SUMPRODUCT(--ISNUMBER(SEARCH(TRIM(Keywords!$A$2:$B$14),A496)))&gt;0,"Negative","Neutral")))</f>
        <v>Neutral</v>
      </c>
    </row>
    <row r="497" spans="1:3" hidden="1" x14ac:dyDescent="0.25">
      <c r="A497" t="s">
        <v>315</v>
      </c>
      <c r="B497">
        <v>5</v>
      </c>
      <c r="C497" t="str">
        <f>IF(AND(SUMPRODUCT(--ISNUMBER(SEARCH(TRIM(Keywords!$A$2:$A$16),A497)))&gt;0,
        SUMPRODUCT(--ISNUMBER(SEARCH(TRIM(Keywords!$B$2:$B$14),A497)))&gt;0),"Neutral",
IF(SUMPRODUCT(--ISNUMBER(SEARCH(TRIM(Keywords!$A$2:$A$16),A497)))&gt;0,"Positive",
IF(SUMPRODUCT(--ISNUMBER(SEARCH(TRIM(Keywords!$A$2:$B$14),A497)))&gt;0,"Negative","Neutral")))</f>
        <v>Positive</v>
      </c>
    </row>
    <row r="498" spans="1:3" hidden="1" x14ac:dyDescent="0.25">
      <c r="A498" t="s">
        <v>283</v>
      </c>
      <c r="B498">
        <v>5</v>
      </c>
      <c r="C498" t="str">
        <f>IF(AND(SUMPRODUCT(--ISNUMBER(SEARCH(TRIM(Keywords!$A$2:$A$16),A498)))&gt;0,
        SUMPRODUCT(--ISNUMBER(SEARCH(TRIM(Keywords!$B$2:$B$14),A498)))&gt;0),"Neutral",
IF(SUMPRODUCT(--ISNUMBER(SEARCH(TRIM(Keywords!$A$2:$A$16),A498)))&gt;0,"Positive",
IF(SUMPRODUCT(--ISNUMBER(SEARCH(TRIM(Keywords!$A$2:$B$14),A498)))&gt;0,"Negative","Neutral")))</f>
        <v>Positive</v>
      </c>
    </row>
    <row r="499" spans="1:3" hidden="1" x14ac:dyDescent="0.25">
      <c r="A499" t="s">
        <v>316</v>
      </c>
      <c r="B499">
        <v>3</v>
      </c>
      <c r="C499" t="str">
        <f>IF(AND(SUMPRODUCT(--ISNUMBER(SEARCH(TRIM(Keywords!$A$2:$A$16),A499)))&gt;0,
        SUMPRODUCT(--ISNUMBER(SEARCH(TRIM(Keywords!$B$2:$B$14),A499)))&gt;0),"Neutral",
IF(SUMPRODUCT(--ISNUMBER(SEARCH(TRIM(Keywords!$A$2:$A$16),A499)))&gt;0,"Positive",
IF(SUMPRODUCT(--ISNUMBER(SEARCH(TRIM(Keywords!$A$2:$B$14),A499)))&gt;0,"Negative","Neutral")))</f>
        <v>Positive</v>
      </c>
    </row>
    <row r="500" spans="1:3" hidden="1" x14ac:dyDescent="0.25">
      <c r="A500" t="s">
        <v>2</v>
      </c>
      <c r="B500">
        <v>5</v>
      </c>
      <c r="C500" t="str">
        <f>IF(AND(SUMPRODUCT(--ISNUMBER(SEARCH(TRIM(Keywords!$A$2:$A$16),A500)))&gt;0,
        SUMPRODUCT(--ISNUMBER(SEARCH(TRIM(Keywords!$B$2:$B$14),A500)))&gt;0),"Neutral",
IF(SUMPRODUCT(--ISNUMBER(SEARCH(TRIM(Keywords!$A$2:$A$16),A500)))&gt;0,"Positive",
IF(SUMPRODUCT(--ISNUMBER(SEARCH(TRIM(Keywords!$A$2:$B$14),A500)))&gt;0,"Negative","Neutral")))</f>
        <v>Positive</v>
      </c>
    </row>
    <row r="501" spans="1:3" x14ac:dyDescent="0.25">
      <c r="A501" t="s">
        <v>317</v>
      </c>
      <c r="B501">
        <v>4</v>
      </c>
      <c r="C501" t="str">
        <f>IF(AND(SUMPRODUCT(--ISNUMBER(SEARCH(TRIM(Keywords!$A$2:$A$16),A501)))&gt;0,
        SUMPRODUCT(--ISNUMBER(SEARCH(TRIM(Keywords!$B$2:$B$14),A501)))&gt;0),"Neutral",
IF(SUMPRODUCT(--ISNUMBER(SEARCH(TRIM(Keywords!$A$2:$A$16),A501)))&gt;0,"Positive",
IF(SUMPRODUCT(--ISNUMBER(SEARCH(TRIM(Keywords!$A$2:$B$14),A501)))&gt;0,"Negative","Neutral")))</f>
        <v>Neutral</v>
      </c>
    </row>
    <row r="502" spans="1:3" hidden="1" x14ac:dyDescent="0.25">
      <c r="A502" t="s">
        <v>2</v>
      </c>
      <c r="B502">
        <v>5</v>
      </c>
      <c r="C502" t="str">
        <f>IF(AND(SUMPRODUCT(--ISNUMBER(SEARCH(TRIM(Keywords!$A$2:$A$16),A502)))&gt;0,
        SUMPRODUCT(--ISNUMBER(SEARCH(TRIM(Keywords!$B$2:$B$14),A502)))&gt;0),"Neutral",
IF(SUMPRODUCT(--ISNUMBER(SEARCH(TRIM(Keywords!$A$2:$A$16),A502)))&gt;0,"Positive",
IF(SUMPRODUCT(--ISNUMBER(SEARCH(TRIM(Keywords!$A$2:$B$14),A502)))&gt;0,"Negative","Neutral")))</f>
        <v>Positive</v>
      </c>
    </row>
    <row r="503" spans="1:3" x14ac:dyDescent="0.25">
      <c r="A503" t="s">
        <v>318</v>
      </c>
      <c r="B503">
        <v>4</v>
      </c>
      <c r="C503" t="str">
        <f>IF(AND(SUMPRODUCT(--ISNUMBER(SEARCH(TRIM(Keywords!$A$2:$A$16),A503)))&gt;0,
        SUMPRODUCT(--ISNUMBER(SEARCH(TRIM(Keywords!$B$2:$B$14),A503)))&gt;0),"Neutral",
IF(SUMPRODUCT(--ISNUMBER(SEARCH(TRIM(Keywords!$A$2:$A$16),A503)))&gt;0,"Positive",
IF(SUMPRODUCT(--ISNUMBER(SEARCH(TRIM(Keywords!$A$2:$B$14),A503)))&gt;0,"Negative","Neutral")))</f>
        <v>Neutral</v>
      </c>
    </row>
    <row r="504" spans="1:3" x14ac:dyDescent="0.25">
      <c r="A504" t="s">
        <v>319</v>
      </c>
      <c r="B504">
        <v>3</v>
      </c>
      <c r="C504" t="str">
        <f>IF(AND(SUMPRODUCT(--ISNUMBER(SEARCH(TRIM(Keywords!$A$2:$A$16),A504)))&gt;0,
        SUMPRODUCT(--ISNUMBER(SEARCH(TRIM(Keywords!$B$2:$B$14),A504)))&gt;0),"Neutral",
IF(SUMPRODUCT(--ISNUMBER(SEARCH(TRIM(Keywords!$A$2:$A$16),A504)))&gt;0,"Positive",
IF(SUMPRODUCT(--ISNUMBER(SEARCH(TRIM(Keywords!$A$2:$B$14),A504)))&gt;0,"Negative","Neutral")))</f>
        <v>Neutral</v>
      </c>
    </row>
    <row r="505" spans="1:3" hidden="1" x14ac:dyDescent="0.25">
      <c r="A505" t="s">
        <v>37</v>
      </c>
      <c r="B505">
        <v>5</v>
      </c>
      <c r="C505" t="str">
        <f>IF(AND(SUMPRODUCT(--ISNUMBER(SEARCH(TRIM(Keywords!$A$2:$A$16),A505)))&gt;0,
        SUMPRODUCT(--ISNUMBER(SEARCH(TRIM(Keywords!$B$2:$B$14),A505)))&gt;0),"Neutral",
IF(SUMPRODUCT(--ISNUMBER(SEARCH(TRIM(Keywords!$A$2:$A$16),A505)))&gt;0,"Positive",
IF(SUMPRODUCT(--ISNUMBER(SEARCH(TRIM(Keywords!$A$2:$B$14),A505)))&gt;0,"Negative","Neutral")))</f>
        <v>Positive</v>
      </c>
    </row>
    <row r="506" spans="1:3" x14ac:dyDescent="0.25">
      <c r="A506" t="s">
        <v>320</v>
      </c>
      <c r="B506">
        <v>5</v>
      </c>
      <c r="C506" t="str">
        <f>IF(AND(SUMPRODUCT(--ISNUMBER(SEARCH(TRIM(Keywords!$A$2:$A$16),A506)))&gt;0,
        SUMPRODUCT(--ISNUMBER(SEARCH(TRIM(Keywords!$B$2:$B$14),A506)))&gt;0),"Neutral",
IF(SUMPRODUCT(--ISNUMBER(SEARCH(TRIM(Keywords!$A$2:$A$16),A506)))&gt;0,"Positive",
IF(SUMPRODUCT(--ISNUMBER(SEARCH(TRIM(Keywords!$A$2:$B$14),A506)))&gt;0,"Negative","Neutral")))</f>
        <v>Neutral</v>
      </c>
    </row>
    <row r="507" spans="1:3" hidden="1" x14ac:dyDescent="0.25">
      <c r="A507" t="s">
        <v>321</v>
      </c>
      <c r="B507">
        <v>5</v>
      </c>
      <c r="C507" t="str">
        <f>IF(AND(SUMPRODUCT(--ISNUMBER(SEARCH(TRIM(Keywords!$A$2:$A$16),A507)))&gt;0,
        SUMPRODUCT(--ISNUMBER(SEARCH(TRIM(Keywords!$B$2:$B$14),A507)))&gt;0),"Neutral",
IF(SUMPRODUCT(--ISNUMBER(SEARCH(TRIM(Keywords!$A$2:$A$16),A507)))&gt;0,"Positive",
IF(SUMPRODUCT(--ISNUMBER(SEARCH(TRIM(Keywords!$A$2:$B$14),A507)))&gt;0,"Negative","Neutral")))</f>
        <v>Positive</v>
      </c>
    </row>
    <row r="508" spans="1:3" x14ac:dyDescent="0.25">
      <c r="A508" t="s">
        <v>322</v>
      </c>
      <c r="B508">
        <v>5</v>
      </c>
      <c r="C508" t="str">
        <f>IF(AND(SUMPRODUCT(--ISNUMBER(SEARCH(TRIM(Keywords!$A$2:$A$16),A508)))&gt;0,
        SUMPRODUCT(--ISNUMBER(SEARCH(TRIM(Keywords!$B$2:$B$14),A508)))&gt;0),"Neutral",
IF(SUMPRODUCT(--ISNUMBER(SEARCH(TRIM(Keywords!$A$2:$A$16),A508)))&gt;0,"Positive",
IF(SUMPRODUCT(--ISNUMBER(SEARCH(TRIM(Keywords!$A$2:$B$14),A508)))&gt;0,"Negative","Neutral")))</f>
        <v>Neutral</v>
      </c>
    </row>
    <row r="509" spans="1:3" x14ac:dyDescent="0.25">
      <c r="A509" t="s">
        <v>64</v>
      </c>
      <c r="B509">
        <v>3</v>
      </c>
      <c r="C509" t="str">
        <f>IF(AND(SUMPRODUCT(--ISNUMBER(SEARCH(TRIM(Keywords!$A$2:$A$16),A509)))&gt;0,
        SUMPRODUCT(--ISNUMBER(SEARCH(TRIM(Keywords!$B$2:$B$14),A509)))&gt;0),"Neutral",
IF(SUMPRODUCT(--ISNUMBER(SEARCH(TRIM(Keywords!$A$2:$A$16),A509)))&gt;0,"Positive",
IF(SUMPRODUCT(--ISNUMBER(SEARCH(TRIM(Keywords!$A$2:$B$14),A509)))&gt;0,"Negative","Neutral")))</f>
        <v>Neutral</v>
      </c>
    </row>
    <row r="510" spans="1:3" hidden="1" x14ac:dyDescent="0.25">
      <c r="A510" t="s">
        <v>2</v>
      </c>
      <c r="B510">
        <v>5</v>
      </c>
      <c r="C510" t="str">
        <f>IF(AND(SUMPRODUCT(--ISNUMBER(SEARCH(TRIM(Keywords!$A$2:$A$16),A510)))&gt;0,
        SUMPRODUCT(--ISNUMBER(SEARCH(TRIM(Keywords!$B$2:$B$14),A510)))&gt;0),"Neutral",
IF(SUMPRODUCT(--ISNUMBER(SEARCH(TRIM(Keywords!$A$2:$A$16),A510)))&gt;0,"Positive",
IF(SUMPRODUCT(--ISNUMBER(SEARCH(TRIM(Keywords!$A$2:$B$14),A510)))&gt;0,"Negative","Neutral")))</f>
        <v>Positive</v>
      </c>
    </row>
    <row r="511" spans="1:3" hidden="1" x14ac:dyDescent="0.25">
      <c r="A511" t="s">
        <v>2</v>
      </c>
      <c r="B511">
        <v>5</v>
      </c>
      <c r="C511" t="str">
        <f>IF(AND(SUMPRODUCT(--ISNUMBER(SEARCH(TRIM(Keywords!$A$2:$A$16),A511)))&gt;0,
        SUMPRODUCT(--ISNUMBER(SEARCH(TRIM(Keywords!$B$2:$B$14),A511)))&gt;0),"Neutral",
IF(SUMPRODUCT(--ISNUMBER(SEARCH(TRIM(Keywords!$A$2:$A$16),A511)))&gt;0,"Positive",
IF(SUMPRODUCT(--ISNUMBER(SEARCH(TRIM(Keywords!$A$2:$B$14),A511)))&gt;0,"Negative","Neutral")))</f>
        <v>Positive</v>
      </c>
    </row>
    <row r="512" spans="1:3" x14ac:dyDescent="0.25">
      <c r="A512" t="s">
        <v>323</v>
      </c>
      <c r="B512">
        <v>3</v>
      </c>
      <c r="C512" t="str">
        <f>IF(AND(SUMPRODUCT(--ISNUMBER(SEARCH(TRIM(Keywords!$A$2:$A$16),A512)))&gt;0,
        SUMPRODUCT(--ISNUMBER(SEARCH(TRIM(Keywords!$B$2:$B$14),A512)))&gt;0),"Neutral",
IF(SUMPRODUCT(--ISNUMBER(SEARCH(TRIM(Keywords!$A$2:$A$16),A512)))&gt;0,"Positive",
IF(SUMPRODUCT(--ISNUMBER(SEARCH(TRIM(Keywords!$A$2:$B$14),A512)))&gt;0,"Negative","Neutral")))</f>
        <v>Neutral</v>
      </c>
    </row>
    <row r="513" spans="1:3" hidden="1" x14ac:dyDescent="0.25">
      <c r="A513" t="s">
        <v>38</v>
      </c>
      <c r="B513">
        <v>5</v>
      </c>
      <c r="C513" t="str">
        <f>IF(AND(SUMPRODUCT(--ISNUMBER(SEARCH(TRIM(Keywords!$A$2:$A$16),A513)))&gt;0,
        SUMPRODUCT(--ISNUMBER(SEARCH(TRIM(Keywords!$B$2:$B$14),A513)))&gt;0),"Neutral",
IF(SUMPRODUCT(--ISNUMBER(SEARCH(TRIM(Keywords!$A$2:$A$16),A513)))&gt;0,"Positive",
IF(SUMPRODUCT(--ISNUMBER(SEARCH(TRIM(Keywords!$A$2:$B$14),A513)))&gt;0,"Negative","Neutral")))</f>
        <v>Positive</v>
      </c>
    </row>
    <row r="514" spans="1:3" hidden="1" x14ac:dyDescent="0.25">
      <c r="A514" t="s">
        <v>324</v>
      </c>
      <c r="B514">
        <v>4</v>
      </c>
      <c r="C514" t="str">
        <f>IF(AND(SUMPRODUCT(--ISNUMBER(SEARCH(TRIM(Keywords!$A$2:$A$16),A514)))&gt;0,
        SUMPRODUCT(--ISNUMBER(SEARCH(TRIM(Keywords!$B$2:$B$14),A514)))&gt;0),"Neutral",
IF(SUMPRODUCT(--ISNUMBER(SEARCH(TRIM(Keywords!$A$2:$A$16),A514)))&gt;0,"Positive",
IF(SUMPRODUCT(--ISNUMBER(SEARCH(TRIM(Keywords!$A$2:$B$14),A514)))&gt;0,"Negative","Neutral")))</f>
        <v>Positive</v>
      </c>
    </row>
    <row r="515" spans="1:3" x14ac:dyDescent="0.25">
      <c r="A515" t="s">
        <v>325</v>
      </c>
      <c r="B515">
        <v>3</v>
      </c>
      <c r="C515" t="str">
        <f>IF(AND(SUMPRODUCT(--ISNUMBER(SEARCH(TRIM(Keywords!$A$2:$A$16),A515)))&gt;0,
        SUMPRODUCT(--ISNUMBER(SEARCH(TRIM(Keywords!$B$2:$B$14),A515)))&gt;0),"Neutral",
IF(SUMPRODUCT(--ISNUMBER(SEARCH(TRIM(Keywords!$A$2:$A$16),A515)))&gt;0,"Positive",
IF(SUMPRODUCT(--ISNUMBER(SEARCH(TRIM(Keywords!$A$2:$B$14),A515)))&gt;0,"Negative","Neutral")))</f>
        <v>Neutral</v>
      </c>
    </row>
    <row r="516" spans="1:3" hidden="1" x14ac:dyDescent="0.25">
      <c r="A516" t="s">
        <v>2</v>
      </c>
      <c r="B516">
        <v>5</v>
      </c>
      <c r="C516" t="str">
        <f>IF(AND(SUMPRODUCT(--ISNUMBER(SEARCH(TRIM(Keywords!$A$2:$A$16),A516)))&gt;0,
        SUMPRODUCT(--ISNUMBER(SEARCH(TRIM(Keywords!$B$2:$B$14),A516)))&gt;0),"Neutral",
IF(SUMPRODUCT(--ISNUMBER(SEARCH(TRIM(Keywords!$A$2:$A$16),A516)))&gt;0,"Positive",
IF(SUMPRODUCT(--ISNUMBER(SEARCH(TRIM(Keywords!$A$2:$B$14),A516)))&gt;0,"Negative","Neutral")))</f>
        <v>Positive</v>
      </c>
    </row>
    <row r="517" spans="1:3" x14ac:dyDescent="0.25">
      <c r="A517" t="s">
        <v>326</v>
      </c>
      <c r="B517">
        <v>3</v>
      </c>
      <c r="C517" t="str">
        <f>IF(AND(SUMPRODUCT(--ISNUMBER(SEARCH(TRIM(Keywords!$A$2:$A$16),A517)))&gt;0,
        SUMPRODUCT(--ISNUMBER(SEARCH(TRIM(Keywords!$B$2:$B$14),A517)))&gt;0),"Neutral",
IF(SUMPRODUCT(--ISNUMBER(SEARCH(TRIM(Keywords!$A$2:$A$16),A517)))&gt;0,"Positive",
IF(SUMPRODUCT(--ISNUMBER(SEARCH(TRIM(Keywords!$A$2:$B$14),A517)))&gt;0,"Negative","Neutral")))</f>
        <v>Neutral</v>
      </c>
    </row>
    <row r="518" spans="1:3" hidden="1" x14ac:dyDescent="0.25">
      <c r="A518" t="s">
        <v>72</v>
      </c>
      <c r="B518">
        <v>5</v>
      </c>
      <c r="C518" t="str">
        <f>IF(AND(SUMPRODUCT(--ISNUMBER(SEARCH(TRIM(Keywords!$A$2:$A$16),A518)))&gt;0,
        SUMPRODUCT(--ISNUMBER(SEARCH(TRIM(Keywords!$B$2:$B$14),A518)))&gt;0),"Neutral",
IF(SUMPRODUCT(--ISNUMBER(SEARCH(TRIM(Keywords!$A$2:$A$16),A518)))&gt;0,"Positive",
IF(SUMPRODUCT(--ISNUMBER(SEARCH(TRIM(Keywords!$A$2:$B$14),A518)))&gt;0,"Negative","Neutral")))</f>
        <v>Positive</v>
      </c>
    </row>
    <row r="519" spans="1:3" hidden="1" x14ac:dyDescent="0.25">
      <c r="A519" t="s">
        <v>327</v>
      </c>
      <c r="B519">
        <v>3</v>
      </c>
      <c r="C519" t="str">
        <f>IF(AND(SUMPRODUCT(--ISNUMBER(SEARCH(TRIM(Keywords!$A$2:$A$16),A519)))&gt;0,
        SUMPRODUCT(--ISNUMBER(SEARCH(TRIM(Keywords!$B$2:$B$14),A519)))&gt;0),"Neutral",
IF(SUMPRODUCT(--ISNUMBER(SEARCH(TRIM(Keywords!$A$2:$A$16),A519)))&gt;0,"Positive",
IF(SUMPRODUCT(--ISNUMBER(SEARCH(TRIM(Keywords!$A$2:$B$14),A519)))&gt;0,"Negative","Neutral")))</f>
        <v>Positive</v>
      </c>
    </row>
    <row r="520" spans="1:3" x14ac:dyDescent="0.25">
      <c r="A520" t="s">
        <v>328</v>
      </c>
      <c r="B520">
        <v>3</v>
      </c>
      <c r="C520" t="str">
        <f>IF(AND(SUMPRODUCT(--ISNUMBER(SEARCH(TRIM(Keywords!$A$2:$A$16),A520)))&gt;0,
        SUMPRODUCT(--ISNUMBER(SEARCH(TRIM(Keywords!$B$2:$B$14),A520)))&gt;0),"Neutral",
IF(SUMPRODUCT(--ISNUMBER(SEARCH(TRIM(Keywords!$A$2:$A$16),A520)))&gt;0,"Positive",
IF(SUMPRODUCT(--ISNUMBER(SEARCH(TRIM(Keywords!$A$2:$B$14),A520)))&gt;0,"Negative","Neutral")))</f>
        <v>Neutral</v>
      </c>
    </row>
    <row r="521" spans="1:3" x14ac:dyDescent="0.25">
      <c r="A521" t="s">
        <v>329</v>
      </c>
      <c r="B521">
        <v>3</v>
      </c>
      <c r="C521" t="str">
        <f>IF(AND(SUMPRODUCT(--ISNUMBER(SEARCH(TRIM(Keywords!$A$2:$A$16),A521)))&gt;0,
        SUMPRODUCT(--ISNUMBER(SEARCH(TRIM(Keywords!$B$2:$B$14),A521)))&gt;0),"Neutral",
IF(SUMPRODUCT(--ISNUMBER(SEARCH(TRIM(Keywords!$A$2:$A$16),A521)))&gt;0,"Positive",
IF(SUMPRODUCT(--ISNUMBER(SEARCH(TRIM(Keywords!$A$2:$B$14),A521)))&gt;0,"Negative","Neutral")))</f>
        <v>Neutral</v>
      </c>
    </row>
    <row r="522" spans="1:3" x14ac:dyDescent="0.25">
      <c r="A522" t="s">
        <v>330</v>
      </c>
      <c r="B522">
        <v>3</v>
      </c>
      <c r="C522" t="str">
        <f>IF(AND(SUMPRODUCT(--ISNUMBER(SEARCH(TRIM(Keywords!$A$2:$A$16),A522)))&gt;0,
        SUMPRODUCT(--ISNUMBER(SEARCH(TRIM(Keywords!$B$2:$B$14),A522)))&gt;0),"Neutral",
IF(SUMPRODUCT(--ISNUMBER(SEARCH(TRIM(Keywords!$A$2:$A$16),A522)))&gt;0,"Positive",
IF(SUMPRODUCT(--ISNUMBER(SEARCH(TRIM(Keywords!$A$2:$B$14),A522)))&gt;0,"Negative","Neutral")))</f>
        <v>Neutral</v>
      </c>
    </row>
    <row r="523" spans="1:3" x14ac:dyDescent="0.25">
      <c r="A523" t="s">
        <v>36</v>
      </c>
      <c r="B523">
        <v>5</v>
      </c>
      <c r="C523" t="str">
        <f>IF(AND(SUMPRODUCT(--ISNUMBER(SEARCH(TRIM(Keywords!$A$2:$A$16),A523)))&gt;0,
        SUMPRODUCT(--ISNUMBER(SEARCH(TRIM(Keywords!$B$2:$B$14),A523)))&gt;0),"Neutral",
IF(SUMPRODUCT(--ISNUMBER(SEARCH(TRIM(Keywords!$A$2:$A$16),A523)))&gt;0,"Positive",
IF(SUMPRODUCT(--ISNUMBER(SEARCH(TRIM(Keywords!$A$2:$B$14),A523)))&gt;0,"Negative","Neutral")))</f>
        <v>Neutral</v>
      </c>
    </row>
    <row r="524" spans="1:3" x14ac:dyDescent="0.25">
      <c r="A524" t="s">
        <v>239</v>
      </c>
      <c r="B524">
        <v>3</v>
      </c>
      <c r="C524" t="str">
        <f>IF(AND(SUMPRODUCT(--ISNUMBER(SEARCH(TRIM(Keywords!$A$2:$A$16),A524)))&gt;0,
        SUMPRODUCT(--ISNUMBER(SEARCH(TRIM(Keywords!$B$2:$B$14),A524)))&gt;0),"Neutral",
IF(SUMPRODUCT(--ISNUMBER(SEARCH(TRIM(Keywords!$A$2:$A$16),A524)))&gt;0,"Positive",
IF(SUMPRODUCT(--ISNUMBER(SEARCH(TRIM(Keywords!$A$2:$B$14),A524)))&gt;0,"Negative","Neutral")))</f>
        <v>Neutral</v>
      </c>
    </row>
    <row r="525" spans="1:3" hidden="1" x14ac:dyDescent="0.25">
      <c r="A525" t="s">
        <v>2</v>
      </c>
      <c r="B525">
        <v>5</v>
      </c>
      <c r="C525" t="str">
        <f>IF(AND(SUMPRODUCT(--ISNUMBER(SEARCH(TRIM(Keywords!$A$2:$A$16),A525)))&gt;0,
        SUMPRODUCT(--ISNUMBER(SEARCH(TRIM(Keywords!$B$2:$B$14),A525)))&gt;0),"Neutral",
IF(SUMPRODUCT(--ISNUMBER(SEARCH(TRIM(Keywords!$A$2:$A$16),A525)))&gt;0,"Positive",
IF(SUMPRODUCT(--ISNUMBER(SEARCH(TRIM(Keywords!$A$2:$B$14),A525)))&gt;0,"Negative","Neutral")))</f>
        <v>Positive</v>
      </c>
    </row>
    <row r="526" spans="1:3" hidden="1" x14ac:dyDescent="0.25">
      <c r="A526" t="s">
        <v>2</v>
      </c>
      <c r="B526">
        <v>5</v>
      </c>
      <c r="C526" t="str">
        <f>IF(AND(SUMPRODUCT(--ISNUMBER(SEARCH(TRIM(Keywords!$A$2:$A$16),A526)))&gt;0,
        SUMPRODUCT(--ISNUMBER(SEARCH(TRIM(Keywords!$B$2:$B$14),A526)))&gt;0),"Neutral",
IF(SUMPRODUCT(--ISNUMBER(SEARCH(TRIM(Keywords!$A$2:$A$16),A526)))&gt;0,"Positive",
IF(SUMPRODUCT(--ISNUMBER(SEARCH(TRIM(Keywords!$A$2:$B$14),A526)))&gt;0,"Negative","Neutral")))</f>
        <v>Positive</v>
      </c>
    </row>
    <row r="527" spans="1:3" x14ac:dyDescent="0.25">
      <c r="A527" t="s">
        <v>331</v>
      </c>
      <c r="B527">
        <v>3</v>
      </c>
      <c r="C527" t="str">
        <f>IF(AND(SUMPRODUCT(--ISNUMBER(SEARCH(TRIM(Keywords!$A$2:$A$16),A527)))&gt;0,
        SUMPRODUCT(--ISNUMBER(SEARCH(TRIM(Keywords!$B$2:$B$14),A527)))&gt;0),"Neutral",
IF(SUMPRODUCT(--ISNUMBER(SEARCH(TRIM(Keywords!$A$2:$A$16),A527)))&gt;0,"Positive",
IF(SUMPRODUCT(--ISNUMBER(SEARCH(TRIM(Keywords!$A$2:$B$14),A527)))&gt;0,"Negative","Neutral")))</f>
        <v>Neutral</v>
      </c>
    </row>
    <row r="528" spans="1:3" hidden="1" x14ac:dyDescent="0.25">
      <c r="A528" t="s">
        <v>2</v>
      </c>
      <c r="B528">
        <v>5</v>
      </c>
      <c r="C528" t="str">
        <f>IF(AND(SUMPRODUCT(--ISNUMBER(SEARCH(TRIM(Keywords!$A$2:$A$16),A528)))&gt;0,
        SUMPRODUCT(--ISNUMBER(SEARCH(TRIM(Keywords!$B$2:$B$14),A528)))&gt;0),"Neutral",
IF(SUMPRODUCT(--ISNUMBER(SEARCH(TRIM(Keywords!$A$2:$A$16),A528)))&gt;0,"Positive",
IF(SUMPRODUCT(--ISNUMBER(SEARCH(TRIM(Keywords!$A$2:$B$14),A528)))&gt;0,"Negative","Neutral")))</f>
        <v>Positive</v>
      </c>
    </row>
    <row r="529" spans="1:3" hidden="1" x14ac:dyDescent="0.25">
      <c r="A529" t="s">
        <v>2</v>
      </c>
      <c r="B529">
        <v>5</v>
      </c>
      <c r="C529" t="str">
        <f>IF(AND(SUMPRODUCT(--ISNUMBER(SEARCH(TRIM(Keywords!$A$2:$A$16),A529)))&gt;0,
        SUMPRODUCT(--ISNUMBER(SEARCH(TRIM(Keywords!$B$2:$B$14),A529)))&gt;0),"Neutral",
IF(SUMPRODUCT(--ISNUMBER(SEARCH(TRIM(Keywords!$A$2:$A$16),A529)))&gt;0,"Positive",
IF(SUMPRODUCT(--ISNUMBER(SEARCH(TRIM(Keywords!$A$2:$B$14),A529)))&gt;0,"Negative","Neutral")))</f>
        <v>Positive</v>
      </c>
    </row>
    <row r="530" spans="1:3" x14ac:dyDescent="0.25">
      <c r="A530" t="s">
        <v>332</v>
      </c>
      <c r="B530">
        <v>1</v>
      </c>
      <c r="C530" t="str">
        <f>IF(AND(SUMPRODUCT(--ISNUMBER(SEARCH(TRIM(Keywords!$A$2:$A$16),A530)))&gt;0,
        SUMPRODUCT(--ISNUMBER(SEARCH(TRIM(Keywords!$B$2:$B$14),A530)))&gt;0),"Neutral",
IF(SUMPRODUCT(--ISNUMBER(SEARCH(TRIM(Keywords!$A$2:$A$16),A530)))&gt;0,"Positive",
IF(SUMPRODUCT(--ISNUMBER(SEARCH(TRIM(Keywords!$A$2:$B$14),A530)))&gt;0,"Negative","Neutral")))</f>
        <v>Neutral</v>
      </c>
    </row>
    <row r="531" spans="1:3" hidden="1" x14ac:dyDescent="0.25">
      <c r="A531" t="s">
        <v>2</v>
      </c>
      <c r="B531">
        <v>5</v>
      </c>
      <c r="C531" t="str">
        <f>IF(AND(SUMPRODUCT(--ISNUMBER(SEARCH(TRIM(Keywords!$A$2:$A$16),A531)))&gt;0,
        SUMPRODUCT(--ISNUMBER(SEARCH(TRIM(Keywords!$B$2:$B$14),A531)))&gt;0),"Neutral",
IF(SUMPRODUCT(--ISNUMBER(SEARCH(TRIM(Keywords!$A$2:$A$16),A531)))&gt;0,"Positive",
IF(SUMPRODUCT(--ISNUMBER(SEARCH(TRIM(Keywords!$A$2:$B$14),A531)))&gt;0,"Negative","Neutral")))</f>
        <v>Positive</v>
      </c>
    </row>
    <row r="532" spans="1:3" hidden="1" x14ac:dyDescent="0.25">
      <c r="A532" t="s">
        <v>333</v>
      </c>
      <c r="B532">
        <v>5</v>
      </c>
      <c r="C532" t="str">
        <f>IF(AND(SUMPRODUCT(--ISNUMBER(SEARCH(TRIM(Keywords!$A$2:$A$16),A532)))&gt;0,
        SUMPRODUCT(--ISNUMBER(SEARCH(TRIM(Keywords!$B$2:$B$14),A532)))&gt;0),"Neutral",
IF(SUMPRODUCT(--ISNUMBER(SEARCH(TRIM(Keywords!$A$2:$A$16),A532)))&gt;0,"Positive",
IF(SUMPRODUCT(--ISNUMBER(SEARCH(TRIM(Keywords!$A$2:$B$14),A532)))&gt;0,"Negative","Neutral")))</f>
        <v>Positive</v>
      </c>
    </row>
    <row r="533" spans="1:3" hidden="1" x14ac:dyDescent="0.25">
      <c r="A533" t="s">
        <v>334</v>
      </c>
      <c r="B533">
        <v>5</v>
      </c>
      <c r="C533" t="str">
        <f>IF(AND(SUMPRODUCT(--ISNUMBER(SEARCH(TRIM(Keywords!$A$2:$A$16),A533)))&gt;0,
        SUMPRODUCT(--ISNUMBER(SEARCH(TRIM(Keywords!$B$2:$B$14),A533)))&gt;0),"Neutral",
IF(SUMPRODUCT(--ISNUMBER(SEARCH(TRIM(Keywords!$A$2:$A$16),A533)))&gt;0,"Positive",
IF(SUMPRODUCT(--ISNUMBER(SEARCH(TRIM(Keywords!$A$2:$B$14),A533)))&gt;0,"Negative","Neutral")))</f>
        <v>Positive</v>
      </c>
    </row>
    <row r="534" spans="1:3" hidden="1" x14ac:dyDescent="0.25">
      <c r="A534" t="s">
        <v>335</v>
      </c>
      <c r="B534">
        <v>3</v>
      </c>
      <c r="C534" t="str">
        <f>IF(AND(SUMPRODUCT(--ISNUMBER(SEARCH(TRIM(Keywords!$A$2:$A$16),A534)))&gt;0,
        SUMPRODUCT(--ISNUMBER(SEARCH(TRIM(Keywords!$B$2:$B$14),A534)))&gt;0),"Neutral",
IF(SUMPRODUCT(--ISNUMBER(SEARCH(TRIM(Keywords!$A$2:$A$16),A534)))&gt;0,"Positive",
IF(SUMPRODUCT(--ISNUMBER(SEARCH(TRIM(Keywords!$A$2:$B$14),A534)))&gt;0,"Negative","Neutral")))</f>
        <v>Positive</v>
      </c>
    </row>
    <row r="535" spans="1:3" hidden="1" x14ac:dyDescent="0.25">
      <c r="A535" t="s">
        <v>145</v>
      </c>
      <c r="B535">
        <v>5</v>
      </c>
      <c r="C535" t="str">
        <f>IF(AND(SUMPRODUCT(--ISNUMBER(SEARCH(TRIM(Keywords!$A$2:$A$16),A535)))&gt;0,
        SUMPRODUCT(--ISNUMBER(SEARCH(TRIM(Keywords!$B$2:$B$14),A535)))&gt;0),"Neutral",
IF(SUMPRODUCT(--ISNUMBER(SEARCH(TRIM(Keywords!$A$2:$A$16),A535)))&gt;0,"Positive",
IF(SUMPRODUCT(--ISNUMBER(SEARCH(TRIM(Keywords!$A$2:$B$14),A535)))&gt;0,"Negative","Neutral")))</f>
        <v>Positive</v>
      </c>
    </row>
    <row r="536" spans="1:3" x14ac:dyDescent="0.25">
      <c r="A536" t="s">
        <v>36</v>
      </c>
      <c r="B536">
        <v>5</v>
      </c>
      <c r="C536" t="str">
        <f>IF(AND(SUMPRODUCT(--ISNUMBER(SEARCH(TRIM(Keywords!$A$2:$A$16),A536)))&gt;0,
        SUMPRODUCT(--ISNUMBER(SEARCH(TRIM(Keywords!$B$2:$B$14),A536)))&gt;0),"Neutral",
IF(SUMPRODUCT(--ISNUMBER(SEARCH(TRIM(Keywords!$A$2:$A$16),A536)))&gt;0,"Positive",
IF(SUMPRODUCT(--ISNUMBER(SEARCH(TRIM(Keywords!$A$2:$B$14),A536)))&gt;0,"Negative","Neutral")))</f>
        <v>Neutral</v>
      </c>
    </row>
    <row r="537" spans="1:3" x14ac:dyDescent="0.25">
      <c r="A537" t="s">
        <v>179</v>
      </c>
      <c r="B537">
        <v>5</v>
      </c>
      <c r="C537" t="str">
        <f>IF(AND(SUMPRODUCT(--ISNUMBER(SEARCH(TRIM(Keywords!$A$2:$A$16),A537)))&gt;0,
        SUMPRODUCT(--ISNUMBER(SEARCH(TRIM(Keywords!$B$2:$B$14),A537)))&gt;0),"Neutral",
IF(SUMPRODUCT(--ISNUMBER(SEARCH(TRIM(Keywords!$A$2:$A$16),A537)))&gt;0,"Positive",
IF(SUMPRODUCT(--ISNUMBER(SEARCH(TRIM(Keywords!$A$2:$B$14),A537)))&gt;0,"Negative","Neutral")))</f>
        <v>Neutral</v>
      </c>
    </row>
    <row r="538" spans="1:3" x14ac:dyDescent="0.25">
      <c r="A538" t="s">
        <v>36</v>
      </c>
      <c r="B538">
        <v>5</v>
      </c>
      <c r="C538" t="str">
        <f>IF(AND(SUMPRODUCT(--ISNUMBER(SEARCH(TRIM(Keywords!$A$2:$A$16),A538)))&gt;0,
        SUMPRODUCT(--ISNUMBER(SEARCH(TRIM(Keywords!$B$2:$B$14),A538)))&gt;0),"Neutral",
IF(SUMPRODUCT(--ISNUMBER(SEARCH(TRIM(Keywords!$A$2:$A$16),A538)))&gt;0,"Positive",
IF(SUMPRODUCT(--ISNUMBER(SEARCH(TRIM(Keywords!$A$2:$B$14),A538)))&gt;0,"Negative","Neutral")))</f>
        <v>Neutral</v>
      </c>
    </row>
    <row r="539" spans="1:3" hidden="1" x14ac:dyDescent="0.25">
      <c r="A539" t="s">
        <v>37</v>
      </c>
      <c r="B539">
        <v>1</v>
      </c>
      <c r="C539" t="str">
        <f>IF(AND(SUMPRODUCT(--ISNUMBER(SEARCH(TRIM(Keywords!$A$2:$A$16),A539)))&gt;0,
        SUMPRODUCT(--ISNUMBER(SEARCH(TRIM(Keywords!$B$2:$B$14),A539)))&gt;0),"Neutral",
IF(SUMPRODUCT(--ISNUMBER(SEARCH(TRIM(Keywords!$A$2:$A$16),A539)))&gt;0,"Positive",
IF(SUMPRODUCT(--ISNUMBER(SEARCH(TRIM(Keywords!$A$2:$B$14),A539)))&gt;0,"Negative","Neutral")))</f>
        <v>Positive</v>
      </c>
    </row>
    <row r="540" spans="1:3" hidden="1" x14ac:dyDescent="0.25">
      <c r="A540" t="s">
        <v>336</v>
      </c>
      <c r="B540">
        <v>5</v>
      </c>
      <c r="C540" t="str">
        <f>IF(AND(SUMPRODUCT(--ISNUMBER(SEARCH(TRIM(Keywords!$A$2:$A$16),A540)))&gt;0,
        SUMPRODUCT(--ISNUMBER(SEARCH(TRIM(Keywords!$B$2:$B$14),A540)))&gt;0),"Neutral",
IF(SUMPRODUCT(--ISNUMBER(SEARCH(TRIM(Keywords!$A$2:$A$16),A540)))&gt;0,"Positive",
IF(SUMPRODUCT(--ISNUMBER(SEARCH(TRIM(Keywords!$A$2:$B$14),A540)))&gt;0,"Negative","Neutral")))</f>
        <v>Positive</v>
      </c>
    </row>
    <row r="541" spans="1:3" x14ac:dyDescent="0.25">
      <c r="A541" t="s">
        <v>337</v>
      </c>
      <c r="B541">
        <v>3</v>
      </c>
      <c r="C541" t="str">
        <f>IF(AND(SUMPRODUCT(--ISNUMBER(SEARCH(TRIM(Keywords!$A$2:$A$16),A541)))&gt;0,
        SUMPRODUCT(--ISNUMBER(SEARCH(TRIM(Keywords!$B$2:$B$14),A541)))&gt;0),"Neutral",
IF(SUMPRODUCT(--ISNUMBER(SEARCH(TRIM(Keywords!$A$2:$A$16),A541)))&gt;0,"Positive",
IF(SUMPRODUCT(--ISNUMBER(SEARCH(TRIM(Keywords!$A$2:$B$14),A541)))&gt;0,"Negative","Neutral")))</f>
        <v>Neutral</v>
      </c>
    </row>
    <row r="542" spans="1:3" hidden="1" x14ac:dyDescent="0.25">
      <c r="A542" t="s">
        <v>2</v>
      </c>
      <c r="B542">
        <v>5</v>
      </c>
      <c r="C542" t="str">
        <f>IF(AND(SUMPRODUCT(--ISNUMBER(SEARCH(TRIM(Keywords!$A$2:$A$16),A542)))&gt;0,
        SUMPRODUCT(--ISNUMBER(SEARCH(TRIM(Keywords!$B$2:$B$14),A542)))&gt;0),"Neutral",
IF(SUMPRODUCT(--ISNUMBER(SEARCH(TRIM(Keywords!$A$2:$A$16),A542)))&gt;0,"Positive",
IF(SUMPRODUCT(--ISNUMBER(SEARCH(TRIM(Keywords!$A$2:$B$14),A542)))&gt;0,"Negative","Neutral")))</f>
        <v>Positive</v>
      </c>
    </row>
    <row r="543" spans="1:3" hidden="1" x14ac:dyDescent="0.25">
      <c r="A543" t="s">
        <v>338</v>
      </c>
      <c r="B543">
        <v>4</v>
      </c>
      <c r="C543" t="str">
        <f>IF(AND(SUMPRODUCT(--ISNUMBER(SEARCH(TRIM(Keywords!$A$2:$A$16),A543)))&gt;0,
        SUMPRODUCT(--ISNUMBER(SEARCH(TRIM(Keywords!$B$2:$B$14),A543)))&gt;0),"Neutral",
IF(SUMPRODUCT(--ISNUMBER(SEARCH(TRIM(Keywords!$A$2:$A$16),A543)))&gt;0,"Positive",
IF(SUMPRODUCT(--ISNUMBER(SEARCH(TRIM(Keywords!$A$2:$B$14),A543)))&gt;0,"Negative","Neutral")))</f>
        <v>Positive</v>
      </c>
    </row>
    <row r="544" spans="1:3" hidden="1" x14ac:dyDescent="0.25">
      <c r="A544" t="s">
        <v>339</v>
      </c>
      <c r="B544">
        <v>1</v>
      </c>
      <c r="C544" t="str">
        <f>IF(AND(SUMPRODUCT(--ISNUMBER(SEARCH(TRIM(Keywords!$A$2:$A$16),A544)))&gt;0,
        SUMPRODUCT(--ISNUMBER(SEARCH(TRIM(Keywords!$B$2:$B$14),A544)))&gt;0),"Neutral",
IF(SUMPRODUCT(--ISNUMBER(SEARCH(TRIM(Keywords!$A$2:$A$16),A544)))&gt;0,"Positive",
IF(SUMPRODUCT(--ISNUMBER(SEARCH(TRIM(Keywords!$A$2:$B$14),A544)))&gt;0,"Negative","Neutral")))</f>
        <v>Negative</v>
      </c>
    </row>
    <row r="545" spans="1:3" hidden="1" x14ac:dyDescent="0.25">
      <c r="A545" t="s">
        <v>2</v>
      </c>
      <c r="B545">
        <v>4</v>
      </c>
      <c r="C545" t="str">
        <f>IF(AND(SUMPRODUCT(--ISNUMBER(SEARCH(TRIM(Keywords!$A$2:$A$16),A545)))&gt;0,
        SUMPRODUCT(--ISNUMBER(SEARCH(TRIM(Keywords!$B$2:$B$14),A545)))&gt;0),"Neutral",
IF(SUMPRODUCT(--ISNUMBER(SEARCH(TRIM(Keywords!$A$2:$A$16),A545)))&gt;0,"Positive",
IF(SUMPRODUCT(--ISNUMBER(SEARCH(TRIM(Keywords!$A$2:$B$14),A545)))&gt;0,"Negative","Neutral")))</f>
        <v>Positive</v>
      </c>
    </row>
    <row r="546" spans="1:3" hidden="1" x14ac:dyDescent="0.25">
      <c r="A546" t="s">
        <v>340</v>
      </c>
      <c r="B546">
        <v>5</v>
      </c>
      <c r="C546" t="str">
        <f>IF(AND(SUMPRODUCT(--ISNUMBER(SEARCH(TRIM(Keywords!$A$2:$A$16),A546)))&gt;0,
        SUMPRODUCT(--ISNUMBER(SEARCH(TRIM(Keywords!$B$2:$B$14),A546)))&gt;0),"Neutral",
IF(SUMPRODUCT(--ISNUMBER(SEARCH(TRIM(Keywords!$A$2:$A$16),A546)))&gt;0,"Positive",
IF(SUMPRODUCT(--ISNUMBER(SEARCH(TRIM(Keywords!$A$2:$B$14),A546)))&gt;0,"Negative","Neutral")))</f>
        <v>Positive</v>
      </c>
    </row>
    <row r="547" spans="1:3" hidden="1" x14ac:dyDescent="0.25">
      <c r="A547" t="s">
        <v>341</v>
      </c>
      <c r="B547">
        <v>5</v>
      </c>
      <c r="C547" t="str">
        <f>IF(AND(SUMPRODUCT(--ISNUMBER(SEARCH(TRIM(Keywords!$A$2:$A$16),A547)))&gt;0,
        SUMPRODUCT(--ISNUMBER(SEARCH(TRIM(Keywords!$B$2:$B$14),A547)))&gt;0),"Neutral",
IF(SUMPRODUCT(--ISNUMBER(SEARCH(TRIM(Keywords!$A$2:$A$16),A547)))&gt;0,"Positive",
IF(SUMPRODUCT(--ISNUMBER(SEARCH(TRIM(Keywords!$A$2:$B$14),A547)))&gt;0,"Negative","Neutral")))</f>
        <v>Positive</v>
      </c>
    </row>
    <row r="548" spans="1:3" x14ac:dyDescent="0.25">
      <c r="A548" t="s">
        <v>342</v>
      </c>
      <c r="B548">
        <v>3</v>
      </c>
      <c r="C548" t="str">
        <f>IF(AND(SUMPRODUCT(--ISNUMBER(SEARCH(TRIM(Keywords!$A$2:$A$16),A548)))&gt;0,
        SUMPRODUCT(--ISNUMBER(SEARCH(TRIM(Keywords!$B$2:$B$14),A548)))&gt;0),"Neutral",
IF(SUMPRODUCT(--ISNUMBER(SEARCH(TRIM(Keywords!$A$2:$A$16),A548)))&gt;0,"Positive",
IF(SUMPRODUCT(--ISNUMBER(SEARCH(TRIM(Keywords!$A$2:$B$14),A548)))&gt;0,"Negative","Neutral")))</f>
        <v>Neutral</v>
      </c>
    </row>
    <row r="549" spans="1:3" hidden="1" x14ac:dyDescent="0.25">
      <c r="A549" t="s">
        <v>343</v>
      </c>
      <c r="B549">
        <v>5</v>
      </c>
      <c r="C549" t="str">
        <f>IF(AND(SUMPRODUCT(--ISNUMBER(SEARCH(TRIM(Keywords!$A$2:$A$16),A549)))&gt;0,
        SUMPRODUCT(--ISNUMBER(SEARCH(TRIM(Keywords!$B$2:$B$14),A549)))&gt;0),"Neutral",
IF(SUMPRODUCT(--ISNUMBER(SEARCH(TRIM(Keywords!$A$2:$A$16),A549)))&gt;0,"Positive",
IF(SUMPRODUCT(--ISNUMBER(SEARCH(TRIM(Keywords!$A$2:$B$14),A549)))&gt;0,"Negative","Neutral")))</f>
        <v>Negative</v>
      </c>
    </row>
    <row r="550" spans="1:3" x14ac:dyDescent="0.25">
      <c r="A550" t="s">
        <v>36</v>
      </c>
      <c r="B550">
        <v>3</v>
      </c>
      <c r="C550" t="str">
        <f>IF(AND(SUMPRODUCT(--ISNUMBER(SEARCH(TRIM(Keywords!$A$2:$A$16),A550)))&gt;0,
        SUMPRODUCT(--ISNUMBER(SEARCH(TRIM(Keywords!$B$2:$B$14),A550)))&gt;0),"Neutral",
IF(SUMPRODUCT(--ISNUMBER(SEARCH(TRIM(Keywords!$A$2:$A$16),A550)))&gt;0,"Positive",
IF(SUMPRODUCT(--ISNUMBER(SEARCH(TRIM(Keywords!$A$2:$B$14),A550)))&gt;0,"Negative","Neutral")))</f>
        <v>Neutral</v>
      </c>
    </row>
    <row r="551" spans="1:3" hidden="1" x14ac:dyDescent="0.25">
      <c r="A551" t="s">
        <v>2</v>
      </c>
      <c r="B551">
        <v>5</v>
      </c>
      <c r="C551" t="str">
        <f>IF(AND(SUMPRODUCT(--ISNUMBER(SEARCH(TRIM(Keywords!$A$2:$A$16),A551)))&gt;0,
        SUMPRODUCT(--ISNUMBER(SEARCH(TRIM(Keywords!$B$2:$B$14),A551)))&gt;0),"Neutral",
IF(SUMPRODUCT(--ISNUMBER(SEARCH(TRIM(Keywords!$A$2:$A$16),A551)))&gt;0,"Positive",
IF(SUMPRODUCT(--ISNUMBER(SEARCH(TRIM(Keywords!$A$2:$B$14),A551)))&gt;0,"Negative","Neutral")))</f>
        <v>Positive</v>
      </c>
    </row>
    <row r="552" spans="1:3" x14ac:dyDescent="0.25">
      <c r="A552" t="s">
        <v>344</v>
      </c>
      <c r="B552">
        <v>2</v>
      </c>
      <c r="C552" t="str">
        <f>IF(AND(SUMPRODUCT(--ISNUMBER(SEARCH(TRIM(Keywords!$A$2:$A$16),A552)))&gt;0,
        SUMPRODUCT(--ISNUMBER(SEARCH(TRIM(Keywords!$B$2:$B$14),A552)))&gt;0),"Neutral",
IF(SUMPRODUCT(--ISNUMBER(SEARCH(TRIM(Keywords!$A$2:$A$16),A552)))&gt;0,"Positive",
IF(SUMPRODUCT(--ISNUMBER(SEARCH(TRIM(Keywords!$A$2:$B$14),A552)))&gt;0,"Negative","Neutral")))</f>
        <v>Neutral</v>
      </c>
    </row>
    <row r="553" spans="1:3" x14ac:dyDescent="0.25">
      <c r="A553" t="s">
        <v>345</v>
      </c>
      <c r="B553">
        <v>3</v>
      </c>
      <c r="C553" t="str">
        <f>IF(AND(SUMPRODUCT(--ISNUMBER(SEARCH(TRIM(Keywords!$A$2:$A$16),A553)))&gt;0,
        SUMPRODUCT(--ISNUMBER(SEARCH(TRIM(Keywords!$B$2:$B$14),A553)))&gt;0),"Neutral",
IF(SUMPRODUCT(--ISNUMBER(SEARCH(TRIM(Keywords!$A$2:$A$16),A553)))&gt;0,"Positive",
IF(SUMPRODUCT(--ISNUMBER(SEARCH(TRIM(Keywords!$A$2:$B$14),A553)))&gt;0,"Negative","Neutral")))</f>
        <v>Neutral</v>
      </c>
    </row>
    <row r="554" spans="1:3" x14ac:dyDescent="0.25">
      <c r="A554" t="s">
        <v>346</v>
      </c>
      <c r="B554">
        <v>1</v>
      </c>
      <c r="C554" t="str">
        <f>IF(AND(SUMPRODUCT(--ISNUMBER(SEARCH(TRIM(Keywords!$A$2:$A$16),A554)))&gt;0,
        SUMPRODUCT(--ISNUMBER(SEARCH(TRIM(Keywords!$B$2:$B$14),A554)))&gt;0),"Neutral",
IF(SUMPRODUCT(--ISNUMBER(SEARCH(TRIM(Keywords!$A$2:$A$16),A554)))&gt;0,"Positive",
IF(SUMPRODUCT(--ISNUMBER(SEARCH(TRIM(Keywords!$A$2:$B$14),A554)))&gt;0,"Negative","Neutral")))</f>
        <v>Neutral</v>
      </c>
    </row>
    <row r="555" spans="1:3" hidden="1" x14ac:dyDescent="0.25">
      <c r="A555" t="s">
        <v>2</v>
      </c>
      <c r="B555">
        <v>4</v>
      </c>
      <c r="C555" t="str">
        <f>IF(AND(SUMPRODUCT(--ISNUMBER(SEARCH(TRIM(Keywords!$A$2:$A$16),A555)))&gt;0,
        SUMPRODUCT(--ISNUMBER(SEARCH(TRIM(Keywords!$B$2:$B$14),A555)))&gt;0),"Neutral",
IF(SUMPRODUCT(--ISNUMBER(SEARCH(TRIM(Keywords!$A$2:$A$16),A555)))&gt;0,"Positive",
IF(SUMPRODUCT(--ISNUMBER(SEARCH(TRIM(Keywords!$A$2:$B$14),A555)))&gt;0,"Negative","Neutral")))</f>
        <v>Positive</v>
      </c>
    </row>
    <row r="556" spans="1:3" x14ac:dyDescent="0.25">
      <c r="A556" t="s">
        <v>347</v>
      </c>
      <c r="B556">
        <v>3</v>
      </c>
      <c r="C556" t="str">
        <f>IF(AND(SUMPRODUCT(--ISNUMBER(SEARCH(TRIM(Keywords!$A$2:$A$16),A556)))&gt;0,
        SUMPRODUCT(--ISNUMBER(SEARCH(TRIM(Keywords!$B$2:$B$14),A556)))&gt;0),"Neutral",
IF(SUMPRODUCT(--ISNUMBER(SEARCH(TRIM(Keywords!$A$2:$A$16),A556)))&gt;0,"Positive",
IF(SUMPRODUCT(--ISNUMBER(SEARCH(TRIM(Keywords!$A$2:$B$14),A556)))&gt;0,"Negative","Neutral")))</f>
        <v>Neutral</v>
      </c>
    </row>
    <row r="557" spans="1:3" x14ac:dyDescent="0.25">
      <c r="A557" t="s">
        <v>348</v>
      </c>
      <c r="B557">
        <v>3</v>
      </c>
      <c r="C557" t="str">
        <f>IF(AND(SUMPRODUCT(--ISNUMBER(SEARCH(TRIM(Keywords!$A$2:$A$16),A557)))&gt;0,
        SUMPRODUCT(--ISNUMBER(SEARCH(TRIM(Keywords!$B$2:$B$14),A557)))&gt;0),"Neutral",
IF(SUMPRODUCT(--ISNUMBER(SEARCH(TRIM(Keywords!$A$2:$A$16),A557)))&gt;0,"Positive",
IF(SUMPRODUCT(--ISNUMBER(SEARCH(TRIM(Keywords!$A$2:$B$14),A557)))&gt;0,"Negative","Neutral")))</f>
        <v>Neutral</v>
      </c>
    </row>
    <row r="558" spans="1:3" hidden="1" x14ac:dyDescent="0.25">
      <c r="A558" t="s">
        <v>349</v>
      </c>
      <c r="B558">
        <v>1</v>
      </c>
      <c r="C558" t="str">
        <f>IF(AND(SUMPRODUCT(--ISNUMBER(SEARCH(TRIM(Keywords!$A$2:$A$16),A558)))&gt;0,
        SUMPRODUCT(--ISNUMBER(SEARCH(TRIM(Keywords!$B$2:$B$14),A558)))&gt;0),"Neutral",
IF(SUMPRODUCT(--ISNUMBER(SEARCH(TRIM(Keywords!$A$2:$A$16),A558)))&gt;0,"Positive",
IF(SUMPRODUCT(--ISNUMBER(SEARCH(TRIM(Keywords!$A$2:$B$14),A558)))&gt;0,"Negative","Neutral")))</f>
        <v>Negative</v>
      </c>
    </row>
    <row r="559" spans="1:3" x14ac:dyDescent="0.25">
      <c r="A559" t="s">
        <v>350</v>
      </c>
      <c r="B559">
        <v>1</v>
      </c>
      <c r="C559" t="str">
        <f>IF(AND(SUMPRODUCT(--ISNUMBER(SEARCH(TRIM(Keywords!$A$2:$A$16),A559)))&gt;0,
        SUMPRODUCT(--ISNUMBER(SEARCH(TRIM(Keywords!$B$2:$B$14),A559)))&gt;0),"Neutral",
IF(SUMPRODUCT(--ISNUMBER(SEARCH(TRIM(Keywords!$A$2:$A$16),A559)))&gt;0,"Positive",
IF(SUMPRODUCT(--ISNUMBER(SEARCH(TRIM(Keywords!$A$2:$B$14),A559)))&gt;0,"Negative","Neutral")))</f>
        <v>Neutral</v>
      </c>
    </row>
    <row r="560" spans="1:3" x14ac:dyDescent="0.25">
      <c r="A560" t="s">
        <v>36</v>
      </c>
      <c r="B560">
        <v>3</v>
      </c>
      <c r="C560" t="str">
        <f>IF(AND(SUMPRODUCT(--ISNUMBER(SEARCH(TRIM(Keywords!$A$2:$A$16),A560)))&gt;0,
        SUMPRODUCT(--ISNUMBER(SEARCH(TRIM(Keywords!$B$2:$B$14),A560)))&gt;0),"Neutral",
IF(SUMPRODUCT(--ISNUMBER(SEARCH(TRIM(Keywords!$A$2:$A$16),A560)))&gt;0,"Positive",
IF(SUMPRODUCT(--ISNUMBER(SEARCH(TRIM(Keywords!$A$2:$B$14),A560)))&gt;0,"Negative","Neutral")))</f>
        <v>Neutral</v>
      </c>
    </row>
    <row r="561" spans="1:3" hidden="1" x14ac:dyDescent="0.25">
      <c r="A561" t="s">
        <v>351</v>
      </c>
      <c r="B561">
        <v>4</v>
      </c>
      <c r="C561" t="str">
        <f>IF(AND(SUMPRODUCT(--ISNUMBER(SEARCH(TRIM(Keywords!$A$2:$A$16),A561)))&gt;0,
        SUMPRODUCT(--ISNUMBER(SEARCH(TRIM(Keywords!$B$2:$B$14),A561)))&gt;0),"Neutral",
IF(SUMPRODUCT(--ISNUMBER(SEARCH(TRIM(Keywords!$A$2:$A$16),A561)))&gt;0,"Positive",
IF(SUMPRODUCT(--ISNUMBER(SEARCH(TRIM(Keywords!$A$2:$B$14),A561)))&gt;0,"Negative","Neutral")))</f>
        <v>Positive</v>
      </c>
    </row>
    <row r="562" spans="1:3" hidden="1" x14ac:dyDescent="0.25">
      <c r="A562" t="s">
        <v>59</v>
      </c>
      <c r="B562">
        <v>4</v>
      </c>
      <c r="C562" t="str">
        <f>IF(AND(SUMPRODUCT(--ISNUMBER(SEARCH(TRIM(Keywords!$A$2:$A$16),A562)))&gt;0,
        SUMPRODUCT(--ISNUMBER(SEARCH(TRIM(Keywords!$B$2:$B$14),A562)))&gt;0),"Neutral",
IF(SUMPRODUCT(--ISNUMBER(SEARCH(TRIM(Keywords!$A$2:$A$16),A562)))&gt;0,"Positive",
IF(SUMPRODUCT(--ISNUMBER(SEARCH(TRIM(Keywords!$A$2:$B$14),A562)))&gt;0,"Negative","Neutral")))</f>
        <v>Positive</v>
      </c>
    </row>
    <row r="563" spans="1:3" hidden="1" x14ac:dyDescent="0.25">
      <c r="A563" t="s">
        <v>352</v>
      </c>
      <c r="B563">
        <v>1</v>
      </c>
      <c r="C563" t="str">
        <f>IF(AND(SUMPRODUCT(--ISNUMBER(SEARCH(TRIM(Keywords!$A$2:$A$16),A563)))&gt;0,
        SUMPRODUCT(--ISNUMBER(SEARCH(TRIM(Keywords!$B$2:$B$14),A563)))&gt;0),"Neutral",
IF(SUMPRODUCT(--ISNUMBER(SEARCH(TRIM(Keywords!$A$2:$A$16),A563)))&gt;0,"Positive",
IF(SUMPRODUCT(--ISNUMBER(SEARCH(TRIM(Keywords!$A$2:$B$14),A563)))&gt;0,"Negative","Neutral")))</f>
        <v>Negative</v>
      </c>
    </row>
    <row r="564" spans="1:3" hidden="1" x14ac:dyDescent="0.25">
      <c r="A564" t="s">
        <v>2</v>
      </c>
      <c r="B564">
        <v>3</v>
      </c>
      <c r="C564" t="str">
        <f>IF(AND(SUMPRODUCT(--ISNUMBER(SEARCH(TRIM(Keywords!$A$2:$A$16),A564)))&gt;0,
        SUMPRODUCT(--ISNUMBER(SEARCH(TRIM(Keywords!$B$2:$B$14),A564)))&gt;0),"Neutral",
IF(SUMPRODUCT(--ISNUMBER(SEARCH(TRIM(Keywords!$A$2:$A$16),A564)))&gt;0,"Positive",
IF(SUMPRODUCT(--ISNUMBER(SEARCH(TRIM(Keywords!$A$2:$B$14),A564)))&gt;0,"Negative","Neutral")))</f>
        <v>Positive</v>
      </c>
    </row>
    <row r="565" spans="1:3" x14ac:dyDescent="0.25">
      <c r="A565" t="s">
        <v>353</v>
      </c>
      <c r="B565">
        <v>3</v>
      </c>
      <c r="C565" t="str">
        <f>IF(AND(SUMPRODUCT(--ISNUMBER(SEARCH(TRIM(Keywords!$A$2:$A$16),A565)))&gt;0,
        SUMPRODUCT(--ISNUMBER(SEARCH(TRIM(Keywords!$B$2:$B$14),A565)))&gt;0),"Neutral",
IF(SUMPRODUCT(--ISNUMBER(SEARCH(TRIM(Keywords!$A$2:$A$16),A565)))&gt;0,"Positive",
IF(SUMPRODUCT(--ISNUMBER(SEARCH(TRIM(Keywords!$A$2:$B$14),A565)))&gt;0,"Negative","Neutral")))</f>
        <v>Neutral</v>
      </c>
    </row>
    <row r="566" spans="1:3" hidden="1" x14ac:dyDescent="0.25">
      <c r="A566" t="s">
        <v>354</v>
      </c>
      <c r="B566">
        <v>5</v>
      </c>
      <c r="C566" t="str">
        <f>IF(AND(SUMPRODUCT(--ISNUMBER(SEARCH(TRIM(Keywords!$A$2:$A$16),A566)))&gt;0,
        SUMPRODUCT(--ISNUMBER(SEARCH(TRIM(Keywords!$B$2:$B$14),A566)))&gt;0),"Neutral",
IF(SUMPRODUCT(--ISNUMBER(SEARCH(TRIM(Keywords!$A$2:$A$16),A566)))&gt;0,"Positive",
IF(SUMPRODUCT(--ISNUMBER(SEARCH(TRIM(Keywords!$A$2:$B$14),A566)))&gt;0,"Negative","Neutral")))</f>
        <v>Positive</v>
      </c>
    </row>
    <row r="567" spans="1:3" x14ac:dyDescent="0.25">
      <c r="A567" t="s">
        <v>355</v>
      </c>
      <c r="B567">
        <v>3</v>
      </c>
      <c r="C567" t="str">
        <f>IF(AND(SUMPRODUCT(--ISNUMBER(SEARCH(TRIM(Keywords!$A$2:$A$16),A567)))&gt;0,
        SUMPRODUCT(--ISNUMBER(SEARCH(TRIM(Keywords!$B$2:$B$14),A567)))&gt;0),"Neutral",
IF(SUMPRODUCT(--ISNUMBER(SEARCH(TRIM(Keywords!$A$2:$A$16),A567)))&gt;0,"Positive",
IF(SUMPRODUCT(--ISNUMBER(SEARCH(TRIM(Keywords!$A$2:$B$14),A567)))&gt;0,"Negative","Neutral")))</f>
        <v>Neutral</v>
      </c>
    </row>
    <row r="568" spans="1:3" hidden="1" x14ac:dyDescent="0.25">
      <c r="A568" t="s">
        <v>356</v>
      </c>
      <c r="B568">
        <v>1</v>
      </c>
      <c r="C568" t="str">
        <f>IF(AND(SUMPRODUCT(--ISNUMBER(SEARCH(TRIM(Keywords!$A$2:$A$16),A568)))&gt;0,
        SUMPRODUCT(--ISNUMBER(SEARCH(TRIM(Keywords!$B$2:$B$14),A568)))&gt;0),"Neutral",
IF(SUMPRODUCT(--ISNUMBER(SEARCH(TRIM(Keywords!$A$2:$A$16),A568)))&gt;0,"Positive",
IF(SUMPRODUCT(--ISNUMBER(SEARCH(TRIM(Keywords!$A$2:$B$14),A568)))&gt;0,"Negative","Neutral")))</f>
        <v>Negative</v>
      </c>
    </row>
    <row r="569" spans="1:3" x14ac:dyDescent="0.25">
      <c r="A569" t="s">
        <v>36</v>
      </c>
      <c r="B569">
        <v>5</v>
      </c>
      <c r="C569" t="str">
        <f>IF(AND(SUMPRODUCT(--ISNUMBER(SEARCH(TRIM(Keywords!$A$2:$A$16),A569)))&gt;0,
        SUMPRODUCT(--ISNUMBER(SEARCH(TRIM(Keywords!$B$2:$B$14),A569)))&gt;0),"Neutral",
IF(SUMPRODUCT(--ISNUMBER(SEARCH(TRIM(Keywords!$A$2:$A$16),A569)))&gt;0,"Positive",
IF(SUMPRODUCT(--ISNUMBER(SEARCH(TRIM(Keywords!$A$2:$B$14),A569)))&gt;0,"Negative","Neutral")))</f>
        <v>Neutral</v>
      </c>
    </row>
    <row r="570" spans="1:3" x14ac:dyDescent="0.25">
      <c r="A570" t="s">
        <v>357</v>
      </c>
      <c r="B570">
        <v>3</v>
      </c>
      <c r="C570" t="str">
        <f>IF(AND(SUMPRODUCT(--ISNUMBER(SEARCH(TRIM(Keywords!$A$2:$A$16),A570)))&gt;0,
        SUMPRODUCT(--ISNUMBER(SEARCH(TRIM(Keywords!$B$2:$B$14),A570)))&gt;0),"Neutral",
IF(SUMPRODUCT(--ISNUMBER(SEARCH(TRIM(Keywords!$A$2:$A$16),A570)))&gt;0,"Positive",
IF(SUMPRODUCT(--ISNUMBER(SEARCH(TRIM(Keywords!$A$2:$B$14),A570)))&gt;0,"Negative","Neutral")))</f>
        <v>Neutral</v>
      </c>
    </row>
    <row r="571" spans="1:3" hidden="1" x14ac:dyDescent="0.25">
      <c r="A571" t="s">
        <v>182</v>
      </c>
      <c r="B571">
        <v>5</v>
      </c>
      <c r="C571" t="str">
        <f>IF(AND(SUMPRODUCT(--ISNUMBER(SEARCH(TRIM(Keywords!$A$2:$A$16),A571)))&gt;0,
        SUMPRODUCT(--ISNUMBER(SEARCH(TRIM(Keywords!$B$2:$B$14),A571)))&gt;0),"Neutral",
IF(SUMPRODUCT(--ISNUMBER(SEARCH(TRIM(Keywords!$A$2:$A$16),A571)))&gt;0,"Positive",
IF(SUMPRODUCT(--ISNUMBER(SEARCH(TRIM(Keywords!$A$2:$B$14),A571)))&gt;0,"Negative","Neutral")))</f>
        <v>Positive</v>
      </c>
    </row>
    <row r="572" spans="1:3" x14ac:dyDescent="0.25">
      <c r="A572" t="s">
        <v>358</v>
      </c>
      <c r="B572">
        <v>1</v>
      </c>
      <c r="C572" t="str">
        <f>IF(AND(SUMPRODUCT(--ISNUMBER(SEARCH(TRIM(Keywords!$A$2:$A$16),A572)))&gt;0,
        SUMPRODUCT(--ISNUMBER(SEARCH(TRIM(Keywords!$B$2:$B$14),A572)))&gt;0),"Neutral",
IF(SUMPRODUCT(--ISNUMBER(SEARCH(TRIM(Keywords!$A$2:$A$16),A572)))&gt;0,"Positive",
IF(SUMPRODUCT(--ISNUMBER(SEARCH(TRIM(Keywords!$A$2:$B$14),A572)))&gt;0,"Negative","Neutral")))</f>
        <v>Neutral</v>
      </c>
    </row>
    <row r="573" spans="1:3" hidden="1" x14ac:dyDescent="0.25">
      <c r="A573" t="s">
        <v>359</v>
      </c>
      <c r="B573">
        <v>3</v>
      </c>
      <c r="C573" t="str">
        <f>IF(AND(SUMPRODUCT(--ISNUMBER(SEARCH(TRIM(Keywords!$A$2:$A$16),A573)))&gt;0,
        SUMPRODUCT(--ISNUMBER(SEARCH(TRIM(Keywords!$B$2:$B$14),A573)))&gt;0),"Neutral",
IF(SUMPRODUCT(--ISNUMBER(SEARCH(TRIM(Keywords!$A$2:$A$16),A573)))&gt;0,"Positive",
IF(SUMPRODUCT(--ISNUMBER(SEARCH(TRIM(Keywords!$A$2:$B$14),A573)))&gt;0,"Negative","Neutral")))</f>
        <v>Positive</v>
      </c>
    </row>
    <row r="574" spans="1:3" x14ac:dyDescent="0.25">
      <c r="A574" t="s">
        <v>360</v>
      </c>
      <c r="B574">
        <v>5</v>
      </c>
      <c r="C574" t="str">
        <f>IF(AND(SUMPRODUCT(--ISNUMBER(SEARCH(TRIM(Keywords!$A$2:$A$16),A574)))&gt;0,
        SUMPRODUCT(--ISNUMBER(SEARCH(TRIM(Keywords!$B$2:$B$14),A574)))&gt;0),"Neutral",
IF(SUMPRODUCT(--ISNUMBER(SEARCH(TRIM(Keywords!$A$2:$A$16),A574)))&gt;0,"Positive",
IF(SUMPRODUCT(--ISNUMBER(SEARCH(TRIM(Keywords!$A$2:$B$14),A574)))&gt;0,"Negative","Neutral")))</f>
        <v>Neutral</v>
      </c>
    </row>
    <row r="575" spans="1:3" hidden="1" x14ac:dyDescent="0.25">
      <c r="A575" t="s">
        <v>361</v>
      </c>
      <c r="B575">
        <v>5</v>
      </c>
      <c r="C575" t="str">
        <f>IF(AND(SUMPRODUCT(--ISNUMBER(SEARCH(TRIM(Keywords!$A$2:$A$16),A575)))&gt;0,
        SUMPRODUCT(--ISNUMBER(SEARCH(TRIM(Keywords!$B$2:$B$14),A575)))&gt;0),"Neutral",
IF(SUMPRODUCT(--ISNUMBER(SEARCH(TRIM(Keywords!$A$2:$A$16),A575)))&gt;0,"Positive",
IF(SUMPRODUCT(--ISNUMBER(SEARCH(TRIM(Keywords!$A$2:$B$14),A575)))&gt;0,"Negative","Neutral")))</f>
        <v>Positive</v>
      </c>
    </row>
    <row r="576" spans="1:3" hidden="1" x14ac:dyDescent="0.25">
      <c r="A576" t="s">
        <v>2</v>
      </c>
      <c r="B576">
        <v>4</v>
      </c>
      <c r="C576" t="str">
        <f>IF(AND(SUMPRODUCT(--ISNUMBER(SEARCH(TRIM(Keywords!$A$2:$A$16),A576)))&gt;0,
        SUMPRODUCT(--ISNUMBER(SEARCH(TRIM(Keywords!$B$2:$B$14),A576)))&gt;0),"Neutral",
IF(SUMPRODUCT(--ISNUMBER(SEARCH(TRIM(Keywords!$A$2:$A$16),A576)))&gt;0,"Positive",
IF(SUMPRODUCT(--ISNUMBER(SEARCH(TRIM(Keywords!$A$2:$B$14),A576)))&gt;0,"Negative","Neutral")))</f>
        <v>Positive</v>
      </c>
    </row>
    <row r="577" spans="1:3" hidden="1" x14ac:dyDescent="0.25">
      <c r="A577" t="s">
        <v>362</v>
      </c>
      <c r="B577">
        <v>5</v>
      </c>
      <c r="C577" t="str">
        <f>IF(AND(SUMPRODUCT(--ISNUMBER(SEARCH(TRIM(Keywords!$A$2:$A$16),A577)))&gt;0,
        SUMPRODUCT(--ISNUMBER(SEARCH(TRIM(Keywords!$B$2:$B$14),A577)))&gt;0),"Neutral",
IF(SUMPRODUCT(--ISNUMBER(SEARCH(TRIM(Keywords!$A$2:$A$16),A577)))&gt;0,"Positive",
IF(SUMPRODUCT(--ISNUMBER(SEARCH(TRIM(Keywords!$A$2:$B$14),A577)))&gt;0,"Negative","Neutral")))</f>
        <v>Positive</v>
      </c>
    </row>
    <row r="578" spans="1:3" x14ac:dyDescent="0.25">
      <c r="A578" t="s">
        <v>363</v>
      </c>
      <c r="B578">
        <v>5</v>
      </c>
      <c r="C578" t="str">
        <f>IF(AND(SUMPRODUCT(--ISNUMBER(SEARCH(TRIM(Keywords!$A$2:$A$16),A578)))&gt;0,
        SUMPRODUCT(--ISNUMBER(SEARCH(TRIM(Keywords!$B$2:$B$14),A578)))&gt;0),"Neutral",
IF(SUMPRODUCT(--ISNUMBER(SEARCH(TRIM(Keywords!$A$2:$A$16),A578)))&gt;0,"Positive",
IF(SUMPRODUCT(--ISNUMBER(SEARCH(TRIM(Keywords!$A$2:$B$14),A578)))&gt;0,"Negative","Neutral")))</f>
        <v>Neutral</v>
      </c>
    </row>
    <row r="579" spans="1:3" hidden="1" x14ac:dyDescent="0.25">
      <c r="A579" t="s">
        <v>364</v>
      </c>
      <c r="B579">
        <v>5</v>
      </c>
      <c r="C579" t="str">
        <f>IF(AND(SUMPRODUCT(--ISNUMBER(SEARCH(TRIM(Keywords!$A$2:$A$16),A579)))&gt;0,
        SUMPRODUCT(--ISNUMBER(SEARCH(TRIM(Keywords!$B$2:$B$14),A579)))&gt;0),"Neutral",
IF(SUMPRODUCT(--ISNUMBER(SEARCH(TRIM(Keywords!$A$2:$A$16),A579)))&gt;0,"Positive",
IF(SUMPRODUCT(--ISNUMBER(SEARCH(TRIM(Keywords!$A$2:$B$14),A579)))&gt;0,"Negative","Neutral")))</f>
        <v>Positive</v>
      </c>
    </row>
    <row r="580" spans="1:3" hidden="1" x14ac:dyDescent="0.25">
      <c r="A580" t="s">
        <v>365</v>
      </c>
      <c r="B580">
        <v>5</v>
      </c>
      <c r="C580" t="str">
        <f>IF(AND(SUMPRODUCT(--ISNUMBER(SEARCH(TRIM(Keywords!$A$2:$A$16),A580)))&gt;0,
        SUMPRODUCT(--ISNUMBER(SEARCH(TRIM(Keywords!$B$2:$B$14),A580)))&gt;0),"Neutral",
IF(SUMPRODUCT(--ISNUMBER(SEARCH(TRIM(Keywords!$A$2:$A$16),A580)))&gt;0,"Positive",
IF(SUMPRODUCT(--ISNUMBER(SEARCH(TRIM(Keywords!$A$2:$B$14),A580)))&gt;0,"Negative","Neutral")))</f>
        <v>Positive</v>
      </c>
    </row>
    <row r="581" spans="1:3" hidden="1" x14ac:dyDescent="0.25">
      <c r="A581" t="s">
        <v>2</v>
      </c>
      <c r="B581">
        <v>5</v>
      </c>
      <c r="C581" t="str">
        <f>IF(AND(SUMPRODUCT(--ISNUMBER(SEARCH(TRIM(Keywords!$A$2:$A$16),A581)))&gt;0,
        SUMPRODUCT(--ISNUMBER(SEARCH(TRIM(Keywords!$B$2:$B$14),A581)))&gt;0),"Neutral",
IF(SUMPRODUCT(--ISNUMBER(SEARCH(TRIM(Keywords!$A$2:$A$16),A581)))&gt;0,"Positive",
IF(SUMPRODUCT(--ISNUMBER(SEARCH(TRIM(Keywords!$A$2:$B$14),A581)))&gt;0,"Negative","Neutral")))</f>
        <v>Positive</v>
      </c>
    </row>
    <row r="582" spans="1:3" x14ac:dyDescent="0.25">
      <c r="A582" t="s">
        <v>36</v>
      </c>
      <c r="B582">
        <v>5</v>
      </c>
      <c r="C582" t="str">
        <f>IF(AND(SUMPRODUCT(--ISNUMBER(SEARCH(TRIM(Keywords!$A$2:$A$16),A582)))&gt;0,
        SUMPRODUCT(--ISNUMBER(SEARCH(TRIM(Keywords!$B$2:$B$14),A582)))&gt;0),"Neutral",
IF(SUMPRODUCT(--ISNUMBER(SEARCH(TRIM(Keywords!$A$2:$A$16),A582)))&gt;0,"Positive",
IF(SUMPRODUCT(--ISNUMBER(SEARCH(TRIM(Keywords!$A$2:$B$14),A582)))&gt;0,"Negative","Neutral")))</f>
        <v>Neutral</v>
      </c>
    </row>
    <row r="583" spans="1:3" x14ac:dyDescent="0.25">
      <c r="A583" t="s">
        <v>366</v>
      </c>
      <c r="B583">
        <v>3</v>
      </c>
      <c r="C583" t="str">
        <f>IF(AND(SUMPRODUCT(--ISNUMBER(SEARCH(TRIM(Keywords!$A$2:$A$16),A583)))&gt;0,
        SUMPRODUCT(--ISNUMBER(SEARCH(TRIM(Keywords!$B$2:$B$14),A583)))&gt;0),"Neutral",
IF(SUMPRODUCT(--ISNUMBER(SEARCH(TRIM(Keywords!$A$2:$A$16),A583)))&gt;0,"Positive",
IF(SUMPRODUCT(--ISNUMBER(SEARCH(TRIM(Keywords!$A$2:$B$14),A583)))&gt;0,"Negative","Neutral")))</f>
        <v>Neutral</v>
      </c>
    </row>
    <row r="584" spans="1:3" x14ac:dyDescent="0.25">
      <c r="A584" t="s">
        <v>34</v>
      </c>
      <c r="B584">
        <v>5</v>
      </c>
      <c r="C584" t="str">
        <f>IF(AND(SUMPRODUCT(--ISNUMBER(SEARCH(TRIM(Keywords!$A$2:$A$16),A584)))&gt;0,
        SUMPRODUCT(--ISNUMBER(SEARCH(TRIM(Keywords!$B$2:$B$14),A584)))&gt;0),"Neutral",
IF(SUMPRODUCT(--ISNUMBER(SEARCH(TRIM(Keywords!$A$2:$A$16),A584)))&gt;0,"Positive",
IF(SUMPRODUCT(--ISNUMBER(SEARCH(TRIM(Keywords!$A$2:$B$14),A584)))&gt;0,"Negative","Neutral")))</f>
        <v>Neutral</v>
      </c>
    </row>
    <row r="585" spans="1:3" hidden="1" x14ac:dyDescent="0.25">
      <c r="A585" t="s">
        <v>39</v>
      </c>
      <c r="B585">
        <v>1</v>
      </c>
      <c r="C585" t="str">
        <f>IF(AND(SUMPRODUCT(--ISNUMBER(SEARCH(TRIM(Keywords!$A$2:$A$16),A585)))&gt;0,
        SUMPRODUCT(--ISNUMBER(SEARCH(TRIM(Keywords!$B$2:$B$14),A585)))&gt;0),"Neutral",
IF(SUMPRODUCT(--ISNUMBER(SEARCH(TRIM(Keywords!$A$2:$A$16),A585)))&gt;0,"Positive",
IF(SUMPRODUCT(--ISNUMBER(SEARCH(TRIM(Keywords!$A$2:$B$14),A585)))&gt;0,"Negative","Neutral")))</f>
        <v>Positive</v>
      </c>
    </row>
    <row r="586" spans="1:3" hidden="1" x14ac:dyDescent="0.25">
      <c r="A586" t="s">
        <v>2</v>
      </c>
      <c r="B586">
        <v>5</v>
      </c>
      <c r="C586" t="str">
        <f>IF(AND(SUMPRODUCT(--ISNUMBER(SEARCH(TRIM(Keywords!$A$2:$A$16),A586)))&gt;0,
        SUMPRODUCT(--ISNUMBER(SEARCH(TRIM(Keywords!$B$2:$B$14),A586)))&gt;0),"Neutral",
IF(SUMPRODUCT(--ISNUMBER(SEARCH(TRIM(Keywords!$A$2:$A$16),A586)))&gt;0,"Positive",
IF(SUMPRODUCT(--ISNUMBER(SEARCH(TRIM(Keywords!$A$2:$B$14),A586)))&gt;0,"Negative","Neutral")))</f>
        <v>Positive</v>
      </c>
    </row>
    <row r="587" spans="1:3" hidden="1" x14ac:dyDescent="0.25">
      <c r="A587" t="s">
        <v>2</v>
      </c>
      <c r="B587">
        <v>5</v>
      </c>
      <c r="C587" t="str">
        <f>IF(AND(SUMPRODUCT(--ISNUMBER(SEARCH(TRIM(Keywords!$A$2:$A$16),A587)))&gt;0,
        SUMPRODUCT(--ISNUMBER(SEARCH(TRIM(Keywords!$B$2:$B$14),A587)))&gt;0),"Neutral",
IF(SUMPRODUCT(--ISNUMBER(SEARCH(TRIM(Keywords!$A$2:$A$16),A587)))&gt;0,"Positive",
IF(SUMPRODUCT(--ISNUMBER(SEARCH(TRIM(Keywords!$A$2:$B$14),A587)))&gt;0,"Negative","Neutral")))</f>
        <v>Positive</v>
      </c>
    </row>
    <row r="588" spans="1:3" hidden="1" x14ac:dyDescent="0.25">
      <c r="A588" t="s">
        <v>2</v>
      </c>
      <c r="B588">
        <v>5</v>
      </c>
      <c r="C588" t="str">
        <f>IF(AND(SUMPRODUCT(--ISNUMBER(SEARCH(TRIM(Keywords!$A$2:$A$16),A588)))&gt;0,
        SUMPRODUCT(--ISNUMBER(SEARCH(TRIM(Keywords!$B$2:$B$14),A588)))&gt;0),"Neutral",
IF(SUMPRODUCT(--ISNUMBER(SEARCH(TRIM(Keywords!$A$2:$A$16),A588)))&gt;0,"Positive",
IF(SUMPRODUCT(--ISNUMBER(SEARCH(TRIM(Keywords!$A$2:$B$14),A588)))&gt;0,"Negative","Neutral")))</f>
        <v>Positive</v>
      </c>
    </row>
    <row r="589" spans="1:3" x14ac:dyDescent="0.25">
      <c r="A589" t="s">
        <v>36</v>
      </c>
      <c r="B589">
        <v>3</v>
      </c>
      <c r="C589" t="str">
        <f>IF(AND(SUMPRODUCT(--ISNUMBER(SEARCH(TRIM(Keywords!$A$2:$A$16),A589)))&gt;0,
        SUMPRODUCT(--ISNUMBER(SEARCH(TRIM(Keywords!$B$2:$B$14),A589)))&gt;0),"Neutral",
IF(SUMPRODUCT(--ISNUMBER(SEARCH(TRIM(Keywords!$A$2:$A$16),A589)))&gt;0,"Positive",
IF(SUMPRODUCT(--ISNUMBER(SEARCH(TRIM(Keywords!$A$2:$B$14),A589)))&gt;0,"Negative","Neutral")))</f>
        <v>Neutral</v>
      </c>
    </row>
    <row r="590" spans="1:3" x14ac:dyDescent="0.25">
      <c r="A590" t="s">
        <v>367</v>
      </c>
      <c r="B590">
        <v>5</v>
      </c>
      <c r="C590" t="str">
        <f>IF(AND(SUMPRODUCT(--ISNUMBER(SEARCH(TRIM(Keywords!$A$2:$A$16),A590)))&gt;0,
        SUMPRODUCT(--ISNUMBER(SEARCH(TRIM(Keywords!$B$2:$B$14),A590)))&gt;0),"Neutral",
IF(SUMPRODUCT(--ISNUMBER(SEARCH(TRIM(Keywords!$A$2:$A$16),A590)))&gt;0,"Positive",
IF(SUMPRODUCT(--ISNUMBER(SEARCH(TRIM(Keywords!$A$2:$B$14),A590)))&gt;0,"Negative","Neutral")))</f>
        <v>Neutral</v>
      </c>
    </row>
    <row r="591" spans="1:3" x14ac:dyDescent="0.25">
      <c r="A591" t="s">
        <v>368</v>
      </c>
      <c r="B591">
        <v>3</v>
      </c>
      <c r="C591" t="str">
        <f>IF(AND(SUMPRODUCT(--ISNUMBER(SEARCH(TRIM(Keywords!$A$2:$A$16),A591)))&gt;0,
        SUMPRODUCT(--ISNUMBER(SEARCH(TRIM(Keywords!$B$2:$B$14),A591)))&gt;0),"Neutral",
IF(SUMPRODUCT(--ISNUMBER(SEARCH(TRIM(Keywords!$A$2:$A$16),A591)))&gt;0,"Positive",
IF(SUMPRODUCT(--ISNUMBER(SEARCH(TRIM(Keywords!$A$2:$B$14),A591)))&gt;0,"Negative","Neutral")))</f>
        <v>Neutral</v>
      </c>
    </row>
    <row r="592" spans="1:3" x14ac:dyDescent="0.25">
      <c r="A592" t="s">
        <v>369</v>
      </c>
      <c r="B592">
        <v>3</v>
      </c>
      <c r="C592" t="str">
        <f>IF(AND(SUMPRODUCT(--ISNUMBER(SEARCH(TRIM(Keywords!$A$2:$A$16),A592)))&gt;0,
        SUMPRODUCT(--ISNUMBER(SEARCH(TRIM(Keywords!$B$2:$B$14),A592)))&gt;0),"Neutral",
IF(SUMPRODUCT(--ISNUMBER(SEARCH(TRIM(Keywords!$A$2:$A$16),A592)))&gt;0,"Positive",
IF(SUMPRODUCT(--ISNUMBER(SEARCH(TRIM(Keywords!$A$2:$B$14),A592)))&gt;0,"Negative","Neutral")))</f>
        <v>Neutral</v>
      </c>
    </row>
    <row r="593" spans="1:3" x14ac:dyDescent="0.25">
      <c r="A593" t="s">
        <v>370</v>
      </c>
      <c r="B593">
        <v>5</v>
      </c>
      <c r="C593" t="str">
        <f>IF(AND(SUMPRODUCT(--ISNUMBER(SEARCH(TRIM(Keywords!$A$2:$A$16),A593)))&gt;0,
        SUMPRODUCT(--ISNUMBER(SEARCH(TRIM(Keywords!$B$2:$B$14),A593)))&gt;0),"Neutral",
IF(SUMPRODUCT(--ISNUMBER(SEARCH(TRIM(Keywords!$A$2:$A$16),A593)))&gt;0,"Positive",
IF(SUMPRODUCT(--ISNUMBER(SEARCH(TRIM(Keywords!$A$2:$B$14),A593)))&gt;0,"Negative","Neutral")))</f>
        <v>Neutral</v>
      </c>
    </row>
    <row r="594" spans="1:3" hidden="1" x14ac:dyDescent="0.25">
      <c r="A594" t="s">
        <v>339</v>
      </c>
      <c r="B594">
        <v>1</v>
      </c>
      <c r="C594" t="str">
        <f>IF(AND(SUMPRODUCT(--ISNUMBER(SEARCH(TRIM(Keywords!$A$2:$A$16),A594)))&gt;0,
        SUMPRODUCT(--ISNUMBER(SEARCH(TRIM(Keywords!$B$2:$B$14),A594)))&gt;0),"Neutral",
IF(SUMPRODUCT(--ISNUMBER(SEARCH(TRIM(Keywords!$A$2:$A$16),A594)))&gt;0,"Positive",
IF(SUMPRODUCT(--ISNUMBER(SEARCH(TRIM(Keywords!$A$2:$B$14),A594)))&gt;0,"Negative","Neutral")))</f>
        <v>Negative</v>
      </c>
    </row>
    <row r="595" spans="1:3" x14ac:dyDescent="0.25">
      <c r="A595" t="s">
        <v>371</v>
      </c>
      <c r="B595">
        <v>3</v>
      </c>
      <c r="C595" t="str">
        <f>IF(AND(SUMPRODUCT(--ISNUMBER(SEARCH(TRIM(Keywords!$A$2:$A$16),A595)))&gt;0,
        SUMPRODUCT(--ISNUMBER(SEARCH(TRIM(Keywords!$B$2:$B$14),A595)))&gt;0),"Neutral",
IF(SUMPRODUCT(--ISNUMBER(SEARCH(TRIM(Keywords!$A$2:$A$16),A595)))&gt;0,"Positive",
IF(SUMPRODUCT(--ISNUMBER(SEARCH(TRIM(Keywords!$A$2:$B$14),A595)))&gt;0,"Negative","Neutral")))</f>
        <v>Neutral</v>
      </c>
    </row>
    <row r="596" spans="1:3" x14ac:dyDescent="0.25">
      <c r="A596" t="s">
        <v>372</v>
      </c>
      <c r="B596">
        <v>3</v>
      </c>
      <c r="C596" t="str">
        <f>IF(AND(SUMPRODUCT(--ISNUMBER(SEARCH(TRIM(Keywords!$A$2:$A$16),A596)))&gt;0,
        SUMPRODUCT(--ISNUMBER(SEARCH(TRIM(Keywords!$B$2:$B$14),A596)))&gt;0),"Neutral",
IF(SUMPRODUCT(--ISNUMBER(SEARCH(TRIM(Keywords!$A$2:$A$16),A596)))&gt;0,"Positive",
IF(SUMPRODUCT(--ISNUMBER(SEARCH(TRIM(Keywords!$A$2:$B$14),A596)))&gt;0,"Negative","Neutral")))</f>
        <v>Neutral</v>
      </c>
    </row>
    <row r="597" spans="1:3" x14ac:dyDescent="0.25">
      <c r="A597" t="s">
        <v>36</v>
      </c>
      <c r="B597">
        <v>3</v>
      </c>
      <c r="C597" t="str">
        <f>IF(AND(SUMPRODUCT(--ISNUMBER(SEARCH(TRIM(Keywords!$A$2:$A$16),A597)))&gt;0,
        SUMPRODUCT(--ISNUMBER(SEARCH(TRIM(Keywords!$B$2:$B$14),A597)))&gt;0),"Neutral",
IF(SUMPRODUCT(--ISNUMBER(SEARCH(TRIM(Keywords!$A$2:$A$16),A597)))&gt;0,"Positive",
IF(SUMPRODUCT(--ISNUMBER(SEARCH(TRIM(Keywords!$A$2:$B$14),A597)))&gt;0,"Negative","Neutral")))</f>
        <v>Neutral</v>
      </c>
    </row>
    <row r="598" spans="1:3" x14ac:dyDescent="0.25">
      <c r="A598" t="s">
        <v>373</v>
      </c>
      <c r="B598">
        <v>3</v>
      </c>
      <c r="C598" t="str">
        <f>IF(AND(SUMPRODUCT(--ISNUMBER(SEARCH(TRIM(Keywords!$A$2:$A$16),A598)))&gt;0,
        SUMPRODUCT(--ISNUMBER(SEARCH(TRIM(Keywords!$B$2:$B$14),A598)))&gt;0),"Neutral",
IF(SUMPRODUCT(--ISNUMBER(SEARCH(TRIM(Keywords!$A$2:$A$16),A598)))&gt;0,"Positive",
IF(SUMPRODUCT(--ISNUMBER(SEARCH(TRIM(Keywords!$A$2:$B$14),A598)))&gt;0,"Negative","Neutral")))</f>
        <v>Neutral</v>
      </c>
    </row>
    <row r="599" spans="1:3" hidden="1" x14ac:dyDescent="0.25">
      <c r="A599" t="s">
        <v>2</v>
      </c>
      <c r="B599">
        <v>5</v>
      </c>
      <c r="C599" t="str">
        <f>IF(AND(SUMPRODUCT(--ISNUMBER(SEARCH(TRIM(Keywords!$A$2:$A$16),A599)))&gt;0,
        SUMPRODUCT(--ISNUMBER(SEARCH(TRIM(Keywords!$B$2:$B$14),A599)))&gt;0),"Neutral",
IF(SUMPRODUCT(--ISNUMBER(SEARCH(TRIM(Keywords!$A$2:$A$16),A599)))&gt;0,"Positive",
IF(SUMPRODUCT(--ISNUMBER(SEARCH(TRIM(Keywords!$A$2:$B$14),A599)))&gt;0,"Negative","Neutral")))</f>
        <v>Positive</v>
      </c>
    </row>
    <row r="600" spans="1:3" x14ac:dyDescent="0.25">
      <c r="A600" t="s">
        <v>374</v>
      </c>
      <c r="B600">
        <v>3</v>
      </c>
      <c r="C600" t="str">
        <f>IF(AND(SUMPRODUCT(--ISNUMBER(SEARCH(TRIM(Keywords!$A$2:$A$16),A600)))&gt;0,
        SUMPRODUCT(--ISNUMBER(SEARCH(TRIM(Keywords!$B$2:$B$14),A600)))&gt;0),"Neutral",
IF(SUMPRODUCT(--ISNUMBER(SEARCH(TRIM(Keywords!$A$2:$A$16),A600)))&gt;0,"Positive",
IF(SUMPRODUCT(--ISNUMBER(SEARCH(TRIM(Keywords!$A$2:$B$14),A600)))&gt;0,"Negative","Neutral")))</f>
        <v>Neutral</v>
      </c>
    </row>
    <row r="601" spans="1:3" hidden="1" x14ac:dyDescent="0.25">
      <c r="A601" t="s">
        <v>2</v>
      </c>
      <c r="B601">
        <v>5</v>
      </c>
      <c r="C601" t="str">
        <f>IF(AND(SUMPRODUCT(--ISNUMBER(SEARCH(TRIM(Keywords!$A$2:$A$16),A601)))&gt;0,
        SUMPRODUCT(--ISNUMBER(SEARCH(TRIM(Keywords!$B$2:$B$14),A601)))&gt;0),"Neutral",
IF(SUMPRODUCT(--ISNUMBER(SEARCH(TRIM(Keywords!$A$2:$A$16),A601)))&gt;0,"Positive",
IF(SUMPRODUCT(--ISNUMBER(SEARCH(TRIM(Keywords!$A$2:$B$14),A601)))&gt;0,"Negative","Neutral")))</f>
        <v>Positive</v>
      </c>
    </row>
    <row r="602" spans="1:3" x14ac:dyDescent="0.25">
      <c r="A602" t="s">
        <v>375</v>
      </c>
      <c r="B602">
        <v>3</v>
      </c>
      <c r="C602" t="str">
        <f>IF(AND(SUMPRODUCT(--ISNUMBER(SEARCH(TRIM(Keywords!$A$2:$A$16),A602)))&gt;0,
        SUMPRODUCT(--ISNUMBER(SEARCH(TRIM(Keywords!$B$2:$B$14),A602)))&gt;0),"Neutral",
IF(SUMPRODUCT(--ISNUMBER(SEARCH(TRIM(Keywords!$A$2:$A$16),A602)))&gt;0,"Positive",
IF(SUMPRODUCT(--ISNUMBER(SEARCH(TRIM(Keywords!$A$2:$B$14),A602)))&gt;0,"Negative","Neutral")))</f>
        <v>Neutral</v>
      </c>
    </row>
    <row r="603" spans="1:3" x14ac:dyDescent="0.25">
      <c r="A603" t="s">
        <v>376</v>
      </c>
      <c r="B603">
        <v>4</v>
      </c>
      <c r="C603" t="str">
        <f>IF(AND(SUMPRODUCT(--ISNUMBER(SEARCH(TRIM(Keywords!$A$2:$A$16),A603)))&gt;0,
        SUMPRODUCT(--ISNUMBER(SEARCH(TRIM(Keywords!$B$2:$B$14),A603)))&gt;0),"Neutral",
IF(SUMPRODUCT(--ISNUMBER(SEARCH(TRIM(Keywords!$A$2:$A$16),A603)))&gt;0,"Positive",
IF(SUMPRODUCT(--ISNUMBER(SEARCH(TRIM(Keywords!$A$2:$B$14),A603)))&gt;0,"Negative","Neutral")))</f>
        <v>Neutral</v>
      </c>
    </row>
    <row r="604" spans="1:3" x14ac:dyDescent="0.25">
      <c r="A604" t="s">
        <v>377</v>
      </c>
      <c r="B604">
        <v>3</v>
      </c>
      <c r="C604" t="str">
        <f>IF(AND(SUMPRODUCT(--ISNUMBER(SEARCH(TRIM(Keywords!$A$2:$A$16),A604)))&gt;0,
        SUMPRODUCT(--ISNUMBER(SEARCH(TRIM(Keywords!$B$2:$B$14),A604)))&gt;0),"Neutral",
IF(SUMPRODUCT(--ISNUMBER(SEARCH(TRIM(Keywords!$A$2:$A$16),A604)))&gt;0,"Positive",
IF(SUMPRODUCT(--ISNUMBER(SEARCH(TRIM(Keywords!$A$2:$B$14),A604)))&gt;0,"Negative","Neutral")))</f>
        <v>Neutral</v>
      </c>
    </row>
    <row r="605" spans="1:3" x14ac:dyDescent="0.25">
      <c r="A605" t="s">
        <v>378</v>
      </c>
      <c r="B605">
        <v>3</v>
      </c>
      <c r="C605" t="str">
        <f>IF(AND(SUMPRODUCT(--ISNUMBER(SEARCH(TRIM(Keywords!$A$2:$A$16),A605)))&gt;0,
        SUMPRODUCT(--ISNUMBER(SEARCH(TRIM(Keywords!$B$2:$B$14),A605)))&gt;0),"Neutral",
IF(SUMPRODUCT(--ISNUMBER(SEARCH(TRIM(Keywords!$A$2:$A$16),A605)))&gt;0,"Positive",
IF(SUMPRODUCT(--ISNUMBER(SEARCH(TRIM(Keywords!$A$2:$B$14),A605)))&gt;0,"Negative","Neutral")))</f>
        <v>Neutral</v>
      </c>
    </row>
    <row r="606" spans="1:3" x14ac:dyDescent="0.25">
      <c r="A606" t="s">
        <v>379</v>
      </c>
      <c r="B606">
        <v>3</v>
      </c>
      <c r="C606" t="str">
        <f>IF(AND(SUMPRODUCT(--ISNUMBER(SEARCH(TRIM(Keywords!$A$2:$A$16),A606)))&gt;0,
        SUMPRODUCT(--ISNUMBER(SEARCH(TRIM(Keywords!$B$2:$B$14),A606)))&gt;0),"Neutral",
IF(SUMPRODUCT(--ISNUMBER(SEARCH(TRIM(Keywords!$A$2:$A$16),A606)))&gt;0,"Positive",
IF(SUMPRODUCT(--ISNUMBER(SEARCH(TRIM(Keywords!$A$2:$B$14),A606)))&gt;0,"Negative","Neutral")))</f>
        <v>Neutral</v>
      </c>
    </row>
    <row r="607" spans="1:3" x14ac:dyDescent="0.25">
      <c r="A607" t="s">
        <v>380</v>
      </c>
      <c r="B607">
        <v>4</v>
      </c>
      <c r="C607" t="str">
        <f>IF(AND(SUMPRODUCT(--ISNUMBER(SEARCH(TRIM(Keywords!$A$2:$A$16),A607)))&gt;0,
        SUMPRODUCT(--ISNUMBER(SEARCH(TRIM(Keywords!$B$2:$B$14),A607)))&gt;0),"Neutral",
IF(SUMPRODUCT(--ISNUMBER(SEARCH(TRIM(Keywords!$A$2:$A$16),A607)))&gt;0,"Positive",
IF(SUMPRODUCT(--ISNUMBER(SEARCH(TRIM(Keywords!$A$2:$B$14),A607)))&gt;0,"Negative","Neutral")))</f>
        <v>Neutral</v>
      </c>
    </row>
    <row r="608" spans="1:3" x14ac:dyDescent="0.25">
      <c r="A608" t="s">
        <v>381</v>
      </c>
      <c r="B608">
        <v>3</v>
      </c>
      <c r="C608" t="str">
        <f>IF(AND(SUMPRODUCT(--ISNUMBER(SEARCH(TRIM(Keywords!$A$2:$A$16),A608)))&gt;0,
        SUMPRODUCT(--ISNUMBER(SEARCH(TRIM(Keywords!$B$2:$B$14),A608)))&gt;0),"Neutral",
IF(SUMPRODUCT(--ISNUMBER(SEARCH(TRIM(Keywords!$A$2:$A$16),A608)))&gt;0,"Positive",
IF(SUMPRODUCT(--ISNUMBER(SEARCH(TRIM(Keywords!$A$2:$B$14),A608)))&gt;0,"Negative","Neutral")))</f>
        <v>Neutral</v>
      </c>
    </row>
    <row r="609" spans="1:3" x14ac:dyDescent="0.25">
      <c r="A609" t="s">
        <v>34</v>
      </c>
      <c r="B609">
        <v>3</v>
      </c>
      <c r="C609" t="str">
        <f>IF(AND(SUMPRODUCT(--ISNUMBER(SEARCH(TRIM(Keywords!$A$2:$A$16),A609)))&gt;0,
        SUMPRODUCT(--ISNUMBER(SEARCH(TRIM(Keywords!$B$2:$B$14),A609)))&gt;0),"Neutral",
IF(SUMPRODUCT(--ISNUMBER(SEARCH(TRIM(Keywords!$A$2:$A$16),A609)))&gt;0,"Positive",
IF(SUMPRODUCT(--ISNUMBER(SEARCH(TRIM(Keywords!$A$2:$B$14),A609)))&gt;0,"Negative","Neutral")))</f>
        <v>Neutral</v>
      </c>
    </row>
    <row r="610" spans="1:3" hidden="1" x14ac:dyDescent="0.25">
      <c r="A610" t="s">
        <v>382</v>
      </c>
      <c r="B610">
        <v>1</v>
      </c>
      <c r="C610" t="str">
        <f>IF(AND(SUMPRODUCT(--ISNUMBER(SEARCH(TRIM(Keywords!$A$2:$A$16),A610)))&gt;0,
        SUMPRODUCT(--ISNUMBER(SEARCH(TRIM(Keywords!$B$2:$B$14),A610)))&gt;0),"Neutral",
IF(SUMPRODUCT(--ISNUMBER(SEARCH(TRIM(Keywords!$A$2:$A$16),A610)))&gt;0,"Positive",
IF(SUMPRODUCT(--ISNUMBER(SEARCH(TRIM(Keywords!$A$2:$B$14),A610)))&gt;0,"Negative","Neutral")))</f>
        <v>Positive</v>
      </c>
    </row>
    <row r="611" spans="1:3" x14ac:dyDescent="0.25">
      <c r="A611" t="s">
        <v>383</v>
      </c>
      <c r="B611">
        <v>3</v>
      </c>
      <c r="C611" t="str">
        <f>IF(AND(SUMPRODUCT(--ISNUMBER(SEARCH(TRIM(Keywords!$A$2:$A$16),A611)))&gt;0,
        SUMPRODUCT(--ISNUMBER(SEARCH(TRIM(Keywords!$B$2:$B$14),A611)))&gt;0),"Neutral",
IF(SUMPRODUCT(--ISNUMBER(SEARCH(TRIM(Keywords!$A$2:$A$16),A611)))&gt;0,"Positive",
IF(SUMPRODUCT(--ISNUMBER(SEARCH(TRIM(Keywords!$A$2:$B$14),A611)))&gt;0,"Negative","Neutral")))</f>
        <v>Neutral</v>
      </c>
    </row>
    <row r="612" spans="1:3" x14ac:dyDescent="0.25">
      <c r="A612" t="s">
        <v>64</v>
      </c>
      <c r="B612">
        <v>3</v>
      </c>
      <c r="C612" t="str">
        <f>IF(AND(SUMPRODUCT(--ISNUMBER(SEARCH(TRIM(Keywords!$A$2:$A$16),A612)))&gt;0,
        SUMPRODUCT(--ISNUMBER(SEARCH(TRIM(Keywords!$B$2:$B$14),A612)))&gt;0),"Neutral",
IF(SUMPRODUCT(--ISNUMBER(SEARCH(TRIM(Keywords!$A$2:$A$16),A612)))&gt;0,"Positive",
IF(SUMPRODUCT(--ISNUMBER(SEARCH(TRIM(Keywords!$A$2:$B$14),A612)))&gt;0,"Negative","Neutral")))</f>
        <v>Neutral</v>
      </c>
    </row>
    <row r="613" spans="1:3" hidden="1" x14ac:dyDescent="0.25">
      <c r="A613" t="s">
        <v>384</v>
      </c>
      <c r="B613">
        <v>5</v>
      </c>
      <c r="C613" t="str">
        <f>IF(AND(SUMPRODUCT(--ISNUMBER(SEARCH(TRIM(Keywords!$A$2:$A$16),A613)))&gt;0,
        SUMPRODUCT(--ISNUMBER(SEARCH(TRIM(Keywords!$B$2:$B$14),A613)))&gt;0),"Neutral",
IF(SUMPRODUCT(--ISNUMBER(SEARCH(TRIM(Keywords!$A$2:$A$16),A613)))&gt;0,"Positive",
IF(SUMPRODUCT(--ISNUMBER(SEARCH(TRIM(Keywords!$A$2:$B$14),A613)))&gt;0,"Negative","Neutral")))</f>
        <v>Positive</v>
      </c>
    </row>
    <row r="614" spans="1:3" hidden="1" x14ac:dyDescent="0.25">
      <c r="A614" t="s">
        <v>77</v>
      </c>
      <c r="B614">
        <v>5</v>
      </c>
      <c r="C614" t="str">
        <f>IF(AND(SUMPRODUCT(--ISNUMBER(SEARCH(TRIM(Keywords!$A$2:$A$16),A614)))&gt;0,
        SUMPRODUCT(--ISNUMBER(SEARCH(TRIM(Keywords!$B$2:$B$14),A614)))&gt;0),"Neutral",
IF(SUMPRODUCT(--ISNUMBER(SEARCH(TRIM(Keywords!$A$2:$A$16),A614)))&gt;0,"Positive",
IF(SUMPRODUCT(--ISNUMBER(SEARCH(TRIM(Keywords!$A$2:$B$14),A614)))&gt;0,"Negative","Neutral")))</f>
        <v>Positive</v>
      </c>
    </row>
    <row r="615" spans="1:3" hidden="1" x14ac:dyDescent="0.25">
      <c r="A615" t="s">
        <v>2</v>
      </c>
      <c r="B615">
        <v>2</v>
      </c>
      <c r="C615" t="str">
        <f>IF(AND(SUMPRODUCT(--ISNUMBER(SEARCH(TRIM(Keywords!$A$2:$A$16),A615)))&gt;0,
        SUMPRODUCT(--ISNUMBER(SEARCH(TRIM(Keywords!$B$2:$B$14),A615)))&gt;0),"Neutral",
IF(SUMPRODUCT(--ISNUMBER(SEARCH(TRIM(Keywords!$A$2:$A$16),A615)))&gt;0,"Positive",
IF(SUMPRODUCT(--ISNUMBER(SEARCH(TRIM(Keywords!$A$2:$B$14),A615)))&gt;0,"Negative","Neutral")))</f>
        <v>Positive</v>
      </c>
    </row>
    <row r="616" spans="1:3" hidden="1" x14ac:dyDescent="0.25">
      <c r="A616" t="s">
        <v>2</v>
      </c>
      <c r="B616">
        <v>5</v>
      </c>
      <c r="C616" t="str">
        <f>IF(AND(SUMPRODUCT(--ISNUMBER(SEARCH(TRIM(Keywords!$A$2:$A$16),A616)))&gt;0,
        SUMPRODUCT(--ISNUMBER(SEARCH(TRIM(Keywords!$B$2:$B$14),A616)))&gt;0),"Neutral",
IF(SUMPRODUCT(--ISNUMBER(SEARCH(TRIM(Keywords!$A$2:$A$16),A616)))&gt;0,"Positive",
IF(SUMPRODUCT(--ISNUMBER(SEARCH(TRIM(Keywords!$A$2:$B$14),A616)))&gt;0,"Negative","Neutral")))</f>
        <v>Positive</v>
      </c>
    </row>
    <row r="617" spans="1:3" hidden="1" x14ac:dyDescent="0.25">
      <c r="A617" t="s">
        <v>385</v>
      </c>
      <c r="B617">
        <v>5</v>
      </c>
      <c r="C617" t="str">
        <f>IF(AND(SUMPRODUCT(--ISNUMBER(SEARCH(TRIM(Keywords!$A$2:$A$16),A617)))&gt;0,
        SUMPRODUCT(--ISNUMBER(SEARCH(TRIM(Keywords!$B$2:$B$14),A617)))&gt;0),"Neutral",
IF(SUMPRODUCT(--ISNUMBER(SEARCH(TRIM(Keywords!$A$2:$A$16),A617)))&gt;0,"Positive",
IF(SUMPRODUCT(--ISNUMBER(SEARCH(TRIM(Keywords!$A$2:$B$14),A617)))&gt;0,"Negative","Neutral")))</f>
        <v>Positive</v>
      </c>
    </row>
    <row r="618" spans="1:3" hidden="1" x14ac:dyDescent="0.25">
      <c r="A618" t="s">
        <v>386</v>
      </c>
      <c r="B618">
        <v>1</v>
      </c>
      <c r="C618" t="str">
        <f>IF(AND(SUMPRODUCT(--ISNUMBER(SEARCH(TRIM(Keywords!$A$2:$A$16),A618)))&gt;0,
        SUMPRODUCT(--ISNUMBER(SEARCH(TRIM(Keywords!$B$2:$B$14),A618)))&gt;0),"Neutral",
IF(SUMPRODUCT(--ISNUMBER(SEARCH(TRIM(Keywords!$A$2:$A$16),A618)))&gt;0,"Positive",
IF(SUMPRODUCT(--ISNUMBER(SEARCH(TRIM(Keywords!$A$2:$B$14),A618)))&gt;0,"Negative","Neutral")))</f>
        <v>Negative</v>
      </c>
    </row>
    <row r="619" spans="1:3" hidden="1" x14ac:dyDescent="0.25">
      <c r="A619" t="s">
        <v>37</v>
      </c>
      <c r="B619">
        <v>5</v>
      </c>
      <c r="C619" t="str">
        <f>IF(AND(SUMPRODUCT(--ISNUMBER(SEARCH(TRIM(Keywords!$A$2:$A$16),A619)))&gt;0,
        SUMPRODUCT(--ISNUMBER(SEARCH(TRIM(Keywords!$B$2:$B$14),A619)))&gt;0),"Neutral",
IF(SUMPRODUCT(--ISNUMBER(SEARCH(TRIM(Keywords!$A$2:$A$16),A619)))&gt;0,"Positive",
IF(SUMPRODUCT(--ISNUMBER(SEARCH(TRIM(Keywords!$A$2:$B$14),A619)))&gt;0,"Negative","Neutral")))</f>
        <v>Positive</v>
      </c>
    </row>
    <row r="620" spans="1:3" hidden="1" x14ac:dyDescent="0.25">
      <c r="A620" t="s">
        <v>2</v>
      </c>
      <c r="B620">
        <v>3</v>
      </c>
      <c r="C620" t="str">
        <f>IF(AND(SUMPRODUCT(--ISNUMBER(SEARCH(TRIM(Keywords!$A$2:$A$16),A620)))&gt;0,
        SUMPRODUCT(--ISNUMBER(SEARCH(TRIM(Keywords!$B$2:$B$14),A620)))&gt;0),"Neutral",
IF(SUMPRODUCT(--ISNUMBER(SEARCH(TRIM(Keywords!$A$2:$A$16),A620)))&gt;0,"Positive",
IF(SUMPRODUCT(--ISNUMBER(SEARCH(TRIM(Keywords!$A$2:$B$14),A620)))&gt;0,"Negative","Neutral")))</f>
        <v>Positive</v>
      </c>
    </row>
    <row r="621" spans="1:3" hidden="1" x14ac:dyDescent="0.25">
      <c r="A621" t="s">
        <v>50</v>
      </c>
      <c r="B621">
        <v>5</v>
      </c>
      <c r="C621" t="str">
        <f>IF(AND(SUMPRODUCT(--ISNUMBER(SEARCH(TRIM(Keywords!$A$2:$A$16),A621)))&gt;0,
        SUMPRODUCT(--ISNUMBER(SEARCH(TRIM(Keywords!$B$2:$B$14),A621)))&gt;0),"Neutral",
IF(SUMPRODUCT(--ISNUMBER(SEARCH(TRIM(Keywords!$A$2:$A$16),A621)))&gt;0,"Positive",
IF(SUMPRODUCT(--ISNUMBER(SEARCH(TRIM(Keywords!$A$2:$B$14),A621)))&gt;0,"Negative","Neutral")))</f>
        <v>Positive</v>
      </c>
    </row>
    <row r="622" spans="1:3" hidden="1" x14ac:dyDescent="0.25">
      <c r="A622" t="s">
        <v>339</v>
      </c>
      <c r="B622">
        <v>1</v>
      </c>
      <c r="C622" t="str">
        <f>IF(AND(SUMPRODUCT(--ISNUMBER(SEARCH(TRIM(Keywords!$A$2:$A$16),A622)))&gt;0,
        SUMPRODUCT(--ISNUMBER(SEARCH(TRIM(Keywords!$B$2:$B$14),A622)))&gt;0),"Neutral",
IF(SUMPRODUCT(--ISNUMBER(SEARCH(TRIM(Keywords!$A$2:$A$16),A622)))&gt;0,"Positive",
IF(SUMPRODUCT(--ISNUMBER(SEARCH(TRIM(Keywords!$A$2:$B$14),A622)))&gt;0,"Negative","Neutral")))</f>
        <v>Negative</v>
      </c>
    </row>
    <row r="623" spans="1:3" x14ac:dyDescent="0.25">
      <c r="A623" t="s">
        <v>387</v>
      </c>
      <c r="B623">
        <v>3</v>
      </c>
      <c r="C623" t="str">
        <f>IF(AND(SUMPRODUCT(--ISNUMBER(SEARCH(TRIM(Keywords!$A$2:$A$16),A623)))&gt;0,
        SUMPRODUCT(--ISNUMBER(SEARCH(TRIM(Keywords!$B$2:$B$14),A623)))&gt;0),"Neutral",
IF(SUMPRODUCT(--ISNUMBER(SEARCH(TRIM(Keywords!$A$2:$A$16),A623)))&gt;0,"Positive",
IF(SUMPRODUCT(--ISNUMBER(SEARCH(TRIM(Keywords!$A$2:$B$14),A623)))&gt;0,"Negative","Neutral")))</f>
        <v>Neutral</v>
      </c>
    </row>
    <row r="624" spans="1:3" hidden="1" x14ac:dyDescent="0.25">
      <c r="A624" t="s">
        <v>388</v>
      </c>
      <c r="B624">
        <v>1</v>
      </c>
      <c r="C624" t="str">
        <f>IF(AND(SUMPRODUCT(--ISNUMBER(SEARCH(TRIM(Keywords!$A$2:$A$16),A624)))&gt;0,
        SUMPRODUCT(--ISNUMBER(SEARCH(TRIM(Keywords!$B$2:$B$14),A624)))&gt;0),"Neutral",
IF(SUMPRODUCT(--ISNUMBER(SEARCH(TRIM(Keywords!$A$2:$A$16),A624)))&gt;0,"Positive",
IF(SUMPRODUCT(--ISNUMBER(SEARCH(TRIM(Keywords!$A$2:$B$14),A624)))&gt;0,"Negative","Neutral")))</f>
        <v>Negative</v>
      </c>
    </row>
    <row r="625" spans="1:3" hidden="1" x14ac:dyDescent="0.25">
      <c r="A625" t="s">
        <v>389</v>
      </c>
      <c r="B625">
        <v>4</v>
      </c>
      <c r="C625" t="str">
        <f>IF(AND(SUMPRODUCT(--ISNUMBER(SEARCH(TRIM(Keywords!$A$2:$A$16),A625)))&gt;0,
        SUMPRODUCT(--ISNUMBER(SEARCH(TRIM(Keywords!$B$2:$B$14),A625)))&gt;0),"Neutral",
IF(SUMPRODUCT(--ISNUMBER(SEARCH(TRIM(Keywords!$A$2:$A$16),A625)))&gt;0,"Positive",
IF(SUMPRODUCT(--ISNUMBER(SEARCH(TRIM(Keywords!$A$2:$B$14),A625)))&gt;0,"Negative","Neutral")))</f>
        <v>Positive</v>
      </c>
    </row>
    <row r="626" spans="1:3" x14ac:dyDescent="0.25">
      <c r="A626" t="s">
        <v>36</v>
      </c>
      <c r="B626">
        <v>3</v>
      </c>
      <c r="C626" t="str">
        <f>IF(AND(SUMPRODUCT(--ISNUMBER(SEARCH(TRIM(Keywords!$A$2:$A$16),A626)))&gt;0,
        SUMPRODUCT(--ISNUMBER(SEARCH(TRIM(Keywords!$B$2:$B$14),A626)))&gt;0),"Neutral",
IF(SUMPRODUCT(--ISNUMBER(SEARCH(TRIM(Keywords!$A$2:$A$16),A626)))&gt;0,"Positive",
IF(SUMPRODUCT(--ISNUMBER(SEARCH(TRIM(Keywords!$A$2:$B$14),A626)))&gt;0,"Negative","Neutral")))</f>
        <v>Neutral</v>
      </c>
    </row>
    <row r="627" spans="1:3" x14ac:dyDescent="0.25">
      <c r="A627" t="s">
        <v>36</v>
      </c>
      <c r="B627">
        <v>4</v>
      </c>
      <c r="C627" t="str">
        <f>IF(AND(SUMPRODUCT(--ISNUMBER(SEARCH(TRIM(Keywords!$A$2:$A$16),A627)))&gt;0,
        SUMPRODUCT(--ISNUMBER(SEARCH(TRIM(Keywords!$B$2:$B$14),A627)))&gt;0),"Neutral",
IF(SUMPRODUCT(--ISNUMBER(SEARCH(TRIM(Keywords!$A$2:$A$16),A627)))&gt;0,"Positive",
IF(SUMPRODUCT(--ISNUMBER(SEARCH(TRIM(Keywords!$A$2:$B$14),A627)))&gt;0,"Negative","Neutral")))</f>
        <v>Neutral</v>
      </c>
    </row>
    <row r="628" spans="1:3" x14ac:dyDescent="0.25">
      <c r="A628" t="s">
        <v>390</v>
      </c>
      <c r="B628">
        <v>1</v>
      </c>
      <c r="C628" t="str">
        <f>IF(AND(SUMPRODUCT(--ISNUMBER(SEARCH(TRIM(Keywords!$A$2:$A$16),A628)))&gt;0,
        SUMPRODUCT(--ISNUMBER(SEARCH(TRIM(Keywords!$B$2:$B$14),A628)))&gt;0),"Neutral",
IF(SUMPRODUCT(--ISNUMBER(SEARCH(TRIM(Keywords!$A$2:$A$16),A628)))&gt;0,"Positive",
IF(SUMPRODUCT(--ISNUMBER(SEARCH(TRIM(Keywords!$A$2:$B$14),A628)))&gt;0,"Negative","Neutral")))</f>
        <v>Neutral</v>
      </c>
    </row>
    <row r="629" spans="1:3" hidden="1" x14ac:dyDescent="0.25">
      <c r="A629" t="s">
        <v>391</v>
      </c>
      <c r="B629">
        <v>5</v>
      </c>
      <c r="C629" t="str">
        <f>IF(AND(SUMPRODUCT(--ISNUMBER(SEARCH(TRIM(Keywords!$A$2:$A$16),A629)))&gt;0,
        SUMPRODUCT(--ISNUMBER(SEARCH(TRIM(Keywords!$B$2:$B$14),A629)))&gt;0),"Neutral",
IF(SUMPRODUCT(--ISNUMBER(SEARCH(TRIM(Keywords!$A$2:$A$16),A629)))&gt;0,"Positive",
IF(SUMPRODUCT(--ISNUMBER(SEARCH(TRIM(Keywords!$A$2:$B$14),A629)))&gt;0,"Negative","Neutral")))</f>
        <v>Positive</v>
      </c>
    </row>
    <row r="630" spans="1:3" hidden="1" x14ac:dyDescent="0.25">
      <c r="A630" t="s">
        <v>392</v>
      </c>
      <c r="B630">
        <v>4</v>
      </c>
      <c r="C630" t="str">
        <f>IF(AND(SUMPRODUCT(--ISNUMBER(SEARCH(TRIM(Keywords!$A$2:$A$16),A630)))&gt;0,
        SUMPRODUCT(--ISNUMBER(SEARCH(TRIM(Keywords!$B$2:$B$14),A630)))&gt;0),"Neutral",
IF(SUMPRODUCT(--ISNUMBER(SEARCH(TRIM(Keywords!$A$2:$A$16),A630)))&gt;0,"Positive",
IF(SUMPRODUCT(--ISNUMBER(SEARCH(TRIM(Keywords!$A$2:$B$14),A630)))&gt;0,"Negative","Neutral")))</f>
        <v>Positive</v>
      </c>
    </row>
    <row r="631" spans="1:3" x14ac:dyDescent="0.25">
      <c r="A631" t="s">
        <v>393</v>
      </c>
      <c r="B631">
        <v>5</v>
      </c>
      <c r="C631" t="str">
        <f>IF(AND(SUMPRODUCT(--ISNUMBER(SEARCH(TRIM(Keywords!$A$2:$A$16),A631)))&gt;0,
        SUMPRODUCT(--ISNUMBER(SEARCH(TRIM(Keywords!$B$2:$B$14),A631)))&gt;0),"Neutral",
IF(SUMPRODUCT(--ISNUMBER(SEARCH(TRIM(Keywords!$A$2:$A$16),A631)))&gt;0,"Positive",
IF(SUMPRODUCT(--ISNUMBER(SEARCH(TRIM(Keywords!$A$2:$B$14),A631)))&gt;0,"Negative","Neutral")))</f>
        <v>Neutral</v>
      </c>
    </row>
    <row r="632" spans="1:3" hidden="1" x14ac:dyDescent="0.25">
      <c r="A632" t="s">
        <v>394</v>
      </c>
      <c r="B632">
        <v>5</v>
      </c>
      <c r="C632" t="str">
        <f>IF(AND(SUMPRODUCT(--ISNUMBER(SEARCH(TRIM(Keywords!$A$2:$A$16),A632)))&gt;0,
        SUMPRODUCT(--ISNUMBER(SEARCH(TRIM(Keywords!$B$2:$B$14),A632)))&gt;0),"Neutral",
IF(SUMPRODUCT(--ISNUMBER(SEARCH(TRIM(Keywords!$A$2:$A$16),A632)))&gt;0,"Positive",
IF(SUMPRODUCT(--ISNUMBER(SEARCH(TRIM(Keywords!$A$2:$B$14),A632)))&gt;0,"Negative","Neutral")))</f>
        <v>Positive</v>
      </c>
    </row>
    <row r="633" spans="1:3" hidden="1" x14ac:dyDescent="0.25">
      <c r="A633" t="s">
        <v>59</v>
      </c>
      <c r="B633">
        <v>5</v>
      </c>
      <c r="C633" t="str">
        <f>IF(AND(SUMPRODUCT(--ISNUMBER(SEARCH(TRIM(Keywords!$A$2:$A$16),A633)))&gt;0,
        SUMPRODUCT(--ISNUMBER(SEARCH(TRIM(Keywords!$B$2:$B$14),A633)))&gt;0),"Neutral",
IF(SUMPRODUCT(--ISNUMBER(SEARCH(TRIM(Keywords!$A$2:$A$16),A633)))&gt;0,"Positive",
IF(SUMPRODUCT(--ISNUMBER(SEARCH(TRIM(Keywords!$A$2:$B$14),A633)))&gt;0,"Negative","Neutral")))</f>
        <v>Positive</v>
      </c>
    </row>
    <row r="634" spans="1:3" x14ac:dyDescent="0.25">
      <c r="A634" t="s">
        <v>36</v>
      </c>
      <c r="B634">
        <v>5</v>
      </c>
      <c r="C634" t="str">
        <f>IF(AND(SUMPRODUCT(--ISNUMBER(SEARCH(TRIM(Keywords!$A$2:$A$16),A634)))&gt;0,
        SUMPRODUCT(--ISNUMBER(SEARCH(TRIM(Keywords!$B$2:$B$14),A634)))&gt;0),"Neutral",
IF(SUMPRODUCT(--ISNUMBER(SEARCH(TRIM(Keywords!$A$2:$A$16),A634)))&gt;0,"Positive",
IF(SUMPRODUCT(--ISNUMBER(SEARCH(TRIM(Keywords!$A$2:$B$14),A634)))&gt;0,"Negative","Neutral")))</f>
        <v>Neutral</v>
      </c>
    </row>
    <row r="635" spans="1:3" hidden="1" x14ac:dyDescent="0.25">
      <c r="A635" t="s">
        <v>2</v>
      </c>
      <c r="B635">
        <v>5</v>
      </c>
      <c r="C635" t="str">
        <f>IF(AND(SUMPRODUCT(--ISNUMBER(SEARCH(TRIM(Keywords!$A$2:$A$16),A635)))&gt;0,
        SUMPRODUCT(--ISNUMBER(SEARCH(TRIM(Keywords!$B$2:$B$14),A635)))&gt;0),"Neutral",
IF(SUMPRODUCT(--ISNUMBER(SEARCH(TRIM(Keywords!$A$2:$A$16),A635)))&gt;0,"Positive",
IF(SUMPRODUCT(--ISNUMBER(SEARCH(TRIM(Keywords!$A$2:$B$14),A635)))&gt;0,"Negative","Neutral")))</f>
        <v>Positive</v>
      </c>
    </row>
    <row r="636" spans="1:3" x14ac:dyDescent="0.25">
      <c r="A636" t="s">
        <v>395</v>
      </c>
      <c r="B636">
        <v>5</v>
      </c>
      <c r="C636" t="str">
        <f>IF(AND(SUMPRODUCT(--ISNUMBER(SEARCH(TRIM(Keywords!$A$2:$A$16),A636)))&gt;0,
        SUMPRODUCT(--ISNUMBER(SEARCH(TRIM(Keywords!$B$2:$B$14),A636)))&gt;0),"Neutral",
IF(SUMPRODUCT(--ISNUMBER(SEARCH(TRIM(Keywords!$A$2:$A$16),A636)))&gt;0,"Positive",
IF(SUMPRODUCT(--ISNUMBER(SEARCH(TRIM(Keywords!$A$2:$B$14),A636)))&gt;0,"Negative","Neutral")))</f>
        <v>Neutral</v>
      </c>
    </row>
    <row r="637" spans="1:3" hidden="1" x14ac:dyDescent="0.25">
      <c r="A637" t="s">
        <v>396</v>
      </c>
      <c r="B637">
        <v>1</v>
      </c>
      <c r="C637" t="str">
        <f>IF(AND(SUMPRODUCT(--ISNUMBER(SEARCH(TRIM(Keywords!$A$2:$A$16),A637)))&gt;0,
        SUMPRODUCT(--ISNUMBER(SEARCH(TRIM(Keywords!$B$2:$B$14),A637)))&gt;0),"Neutral",
IF(SUMPRODUCT(--ISNUMBER(SEARCH(TRIM(Keywords!$A$2:$A$16),A637)))&gt;0,"Positive",
IF(SUMPRODUCT(--ISNUMBER(SEARCH(TRIM(Keywords!$A$2:$B$14),A637)))&gt;0,"Negative","Neutral")))</f>
        <v>Negative</v>
      </c>
    </row>
    <row r="638" spans="1:3" hidden="1" x14ac:dyDescent="0.25">
      <c r="A638" t="s">
        <v>397</v>
      </c>
      <c r="B638">
        <v>1</v>
      </c>
      <c r="C638" t="str">
        <f>IF(AND(SUMPRODUCT(--ISNUMBER(SEARCH(TRIM(Keywords!$A$2:$A$16),A638)))&gt;0,
        SUMPRODUCT(--ISNUMBER(SEARCH(TRIM(Keywords!$B$2:$B$14),A638)))&gt;0),"Neutral",
IF(SUMPRODUCT(--ISNUMBER(SEARCH(TRIM(Keywords!$A$2:$A$16),A638)))&gt;0,"Positive",
IF(SUMPRODUCT(--ISNUMBER(SEARCH(TRIM(Keywords!$A$2:$B$14),A638)))&gt;0,"Negative","Neutral")))</f>
        <v>Negative</v>
      </c>
    </row>
    <row r="639" spans="1:3" x14ac:dyDescent="0.25">
      <c r="A639" t="s">
        <v>398</v>
      </c>
      <c r="B639">
        <v>3</v>
      </c>
      <c r="C639" t="str">
        <f>IF(AND(SUMPRODUCT(--ISNUMBER(SEARCH(TRIM(Keywords!$A$2:$A$16),A639)))&gt;0,
        SUMPRODUCT(--ISNUMBER(SEARCH(TRIM(Keywords!$B$2:$B$14),A639)))&gt;0),"Neutral",
IF(SUMPRODUCT(--ISNUMBER(SEARCH(TRIM(Keywords!$A$2:$A$16),A639)))&gt;0,"Positive",
IF(SUMPRODUCT(--ISNUMBER(SEARCH(TRIM(Keywords!$A$2:$B$14),A639)))&gt;0,"Negative","Neutral")))</f>
        <v>Neutral</v>
      </c>
    </row>
    <row r="640" spans="1:3" hidden="1" x14ac:dyDescent="0.25">
      <c r="A640" t="s">
        <v>2</v>
      </c>
      <c r="B640">
        <v>5</v>
      </c>
      <c r="C640" t="str">
        <f>IF(AND(SUMPRODUCT(--ISNUMBER(SEARCH(TRIM(Keywords!$A$2:$A$16),A640)))&gt;0,
        SUMPRODUCT(--ISNUMBER(SEARCH(TRIM(Keywords!$B$2:$B$14),A640)))&gt;0),"Neutral",
IF(SUMPRODUCT(--ISNUMBER(SEARCH(TRIM(Keywords!$A$2:$A$16),A640)))&gt;0,"Positive",
IF(SUMPRODUCT(--ISNUMBER(SEARCH(TRIM(Keywords!$A$2:$B$14),A640)))&gt;0,"Negative","Neutral")))</f>
        <v>Positive</v>
      </c>
    </row>
    <row r="641" spans="1:3" x14ac:dyDescent="0.25">
      <c r="A641" t="s">
        <v>399</v>
      </c>
      <c r="B641">
        <v>3</v>
      </c>
      <c r="C641" t="str">
        <f>IF(AND(SUMPRODUCT(--ISNUMBER(SEARCH(TRIM(Keywords!$A$2:$A$16),A641)))&gt;0,
        SUMPRODUCT(--ISNUMBER(SEARCH(TRIM(Keywords!$B$2:$B$14),A641)))&gt;0),"Neutral",
IF(SUMPRODUCT(--ISNUMBER(SEARCH(TRIM(Keywords!$A$2:$A$16),A641)))&gt;0,"Positive",
IF(SUMPRODUCT(--ISNUMBER(SEARCH(TRIM(Keywords!$A$2:$B$14),A641)))&gt;0,"Negative","Neutral")))</f>
        <v>Neutral</v>
      </c>
    </row>
    <row r="642" spans="1:3" hidden="1" x14ac:dyDescent="0.25">
      <c r="A642" t="s">
        <v>400</v>
      </c>
      <c r="B642">
        <v>5</v>
      </c>
      <c r="C642" t="str">
        <f>IF(AND(SUMPRODUCT(--ISNUMBER(SEARCH(TRIM(Keywords!$A$2:$A$16),A642)))&gt;0,
        SUMPRODUCT(--ISNUMBER(SEARCH(TRIM(Keywords!$B$2:$B$14),A642)))&gt;0),"Neutral",
IF(SUMPRODUCT(--ISNUMBER(SEARCH(TRIM(Keywords!$A$2:$A$16),A642)))&gt;0,"Positive",
IF(SUMPRODUCT(--ISNUMBER(SEARCH(TRIM(Keywords!$A$2:$B$14),A642)))&gt;0,"Negative","Neutral")))</f>
        <v>Positive</v>
      </c>
    </row>
    <row r="643" spans="1:3" hidden="1" x14ac:dyDescent="0.25">
      <c r="A643" t="s">
        <v>2</v>
      </c>
      <c r="B643">
        <v>5</v>
      </c>
      <c r="C643" t="str">
        <f>IF(AND(SUMPRODUCT(--ISNUMBER(SEARCH(TRIM(Keywords!$A$2:$A$16),A643)))&gt;0,
        SUMPRODUCT(--ISNUMBER(SEARCH(TRIM(Keywords!$B$2:$B$14),A643)))&gt;0),"Neutral",
IF(SUMPRODUCT(--ISNUMBER(SEARCH(TRIM(Keywords!$A$2:$A$16),A643)))&gt;0,"Positive",
IF(SUMPRODUCT(--ISNUMBER(SEARCH(TRIM(Keywords!$A$2:$B$14),A643)))&gt;0,"Negative","Neutral")))</f>
        <v>Positive</v>
      </c>
    </row>
    <row r="644" spans="1:3" hidden="1" x14ac:dyDescent="0.25">
      <c r="A644" t="s">
        <v>4</v>
      </c>
      <c r="B644">
        <v>5</v>
      </c>
      <c r="C644" t="str">
        <f>IF(AND(SUMPRODUCT(--ISNUMBER(SEARCH(TRIM(Keywords!$A$2:$A$16),A644)))&gt;0,
        SUMPRODUCT(--ISNUMBER(SEARCH(TRIM(Keywords!$B$2:$B$14),A644)))&gt;0),"Neutral",
IF(SUMPRODUCT(--ISNUMBER(SEARCH(TRIM(Keywords!$A$2:$A$16),A644)))&gt;0,"Positive",
IF(SUMPRODUCT(--ISNUMBER(SEARCH(TRIM(Keywords!$A$2:$B$14),A644)))&gt;0,"Negative","Neutral")))</f>
        <v>Positive</v>
      </c>
    </row>
    <row r="645" spans="1:3" x14ac:dyDescent="0.25">
      <c r="A645" t="s">
        <v>401</v>
      </c>
      <c r="B645">
        <v>3</v>
      </c>
      <c r="C645" t="str">
        <f>IF(AND(SUMPRODUCT(--ISNUMBER(SEARCH(TRIM(Keywords!$A$2:$A$16),A645)))&gt;0,
        SUMPRODUCT(--ISNUMBER(SEARCH(TRIM(Keywords!$B$2:$B$14),A645)))&gt;0),"Neutral",
IF(SUMPRODUCT(--ISNUMBER(SEARCH(TRIM(Keywords!$A$2:$A$16),A645)))&gt;0,"Positive",
IF(SUMPRODUCT(--ISNUMBER(SEARCH(TRIM(Keywords!$A$2:$B$14),A645)))&gt;0,"Negative","Neutral")))</f>
        <v>Neutral</v>
      </c>
    </row>
    <row r="646" spans="1:3" x14ac:dyDescent="0.25">
      <c r="A646" t="s">
        <v>402</v>
      </c>
      <c r="B646">
        <v>3</v>
      </c>
      <c r="C646" t="str">
        <f>IF(AND(SUMPRODUCT(--ISNUMBER(SEARCH(TRIM(Keywords!$A$2:$A$16),A646)))&gt;0,
        SUMPRODUCT(--ISNUMBER(SEARCH(TRIM(Keywords!$B$2:$B$14),A646)))&gt;0),"Neutral",
IF(SUMPRODUCT(--ISNUMBER(SEARCH(TRIM(Keywords!$A$2:$A$16),A646)))&gt;0,"Positive",
IF(SUMPRODUCT(--ISNUMBER(SEARCH(TRIM(Keywords!$A$2:$B$14),A646)))&gt;0,"Negative","Neutral")))</f>
        <v>Neutral</v>
      </c>
    </row>
    <row r="647" spans="1:3" hidden="1" x14ac:dyDescent="0.25">
      <c r="A647" t="s">
        <v>316</v>
      </c>
      <c r="B647">
        <v>4</v>
      </c>
      <c r="C647" t="str">
        <f>IF(AND(SUMPRODUCT(--ISNUMBER(SEARCH(TRIM(Keywords!$A$2:$A$16),A647)))&gt;0,
        SUMPRODUCT(--ISNUMBER(SEARCH(TRIM(Keywords!$B$2:$B$14),A647)))&gt;0),"Neutral",
IF(SUMPRODUCT(--ISNUMBER(SEARCH(TRIM(Keywords!$A$2:$A$16),A647)))&gt;0,"Positive",
IF(SUMPRODUCT(--ISNUMBER(SEARCH(TRIM(Keywords!$A$2:$B$14),A647)))&gt;0,"Negative","Neutral")))</f>
        <v>Positive</v>
      </c>
    </row>
    <row r="648" spans="1:3" x14ac:dyDescent="0.25">
      <c r="A648" t="s">
        <v>402</v>
      </c>
      <c r="B648">
        <v>3</v>
      </c>
      <c r="C648" t="str">
        <f>IF(AND(SUMPRODUCT(--ISNUMBER(SEARCH(TRIM(Keywords!$A$2:$A$16),A648)))&gt;0,
        SUMPRODUCT(--ISNUMBER(SEARCH(TRIM(Keywords!$B$2:$B$14),A648)))&gt;0),"Neutral",
IF(SUMPRODUCT(--ISNUMBER(SEARCH(TRIM(Keywords!$A$2:$A$16),A648)))&gt;0,"Positive",
IF(SUMPRODUCT(--ISNUMBER(SEARCH(TRIM(Keywords!$A$2:$B$14),A648)))&gt;0,"Negative","Neutral")))</f>
        <v>Neutral</v>
      </c>
    </row>
    <row r="649" spans="1:3" hidden="1" x14ac:dyDescent="0.25">
      <c r="A649" t="s">
        <v>2</v>
      </c>
      <c r="B649">
        <v>5</v>
      </c>
      <c r="C649" t="str">
        <f>IF(AND(SUMPRODUCT(--ISNUMBER(SEARCH(TRIM(Keywords!$A$2:$A$16),A649)))&gt;0,
        SUMPRODUCT(--ISNUMBER(SEARCH(TRIM(Keywords!$B$2:$B$14),A649)))&gt;0),"Neutral",
IF(SUMPRODUCT(--ISNUMBER(SEARCH(TRIM(Keywords!$A$2:$A$16),A649)))&gt;0,"Positive",
IF(SUMPRODUCT(--ISNUMBER(SEARCH(TRIM(Keywords!$A$2:$B$14),A649)))&gt;0,"Negative","Neutral")))</f>
        <v>Positive</v>
      </c>
    </row>
    <row r="650" spans="1:3" hidden="1" x14ac:dyDescent="0.25">
      <c r="A650" t="s">
        <v>2</v>
      </c>
      <c r="B650">
        <v>5</v>
      </c>
      <c r="C650" t="str">
        <f>IF(AND(SUMPRODUCT(--ISNUMBER(SEARCH(TRIM(Keywords!$A$2:$A$16),A650)))&gt;0,
        SUMPRODUCT(--ISNUMBER(SEARCH(TRIM(Keywords!$B$2:$B$14),A650)))&gt;0),"Neutral",
IF(SUMPRODUCT(--ISNUMBER(SEARCH(TRIM(Keywords!$A$2:$A$16),A650)))&gt;0,"Positive",
IF(SUMPRODUCT(--ISNUMBER(SEARCH(TRIM(Keywords!$A$2:$B$14),A650)))&gt;0,"Negative","Neutral")))</f>
        <v>Positive</v>
      </c>
    </row>
    <row r="651" spans="1:3" hidden="1" x14ac:dyDescent="0.25">
      <c r="A651" t="s">
        <v>403</v>
      </c>
      <c r="B651">
        <v>5</v>
      </c>
      <c r="C651" t="str">
        <f>IF(AND(SUMPRODUCT(--ISNUMBER(SEARCH(TRIM(Keywords!$A$2:$A$16),A651)))&gt;0,
        SUMPRODUCT(--ISNUMBER(SEARCH(TRIM(Keywords!$B$2:$B$14),A651)))&gt;0),"Neutral",
IF(SUMPRODUCT(--ISNUMBER(SEARCH(TRIM(Keywords!$A$2:$A$16),A651)))&gt;0,"Positive",
IF(SUMPRODUCT(--ISNUMBER(SEARCH(TRIM(Keywords!$A$2:$B$14),A651)))&gt;0,"Negative","Neutral")))</f>
        <v>Positive</v>
      </c>
    </row>
    <row r="652" spans="1:3" hidden="1" x14ac:dyDescent="0.25">
      <c r="A652" t="s">
        <v>404</v>
      </c>
      <c r="B652">
        <v>5</v>
      </c>
      <c r="C652" t="str">
        <f>IF(AND(SUMPRODUCT(--ISNUMBER(SEARCH(TRIM(Keywords!$A$2:$A$16),A652)))&gt;0,
        SUMPRODUCT(--ISNUMBER(SEARCH(TRIM(Keywords!$B$2:$B$14),A652)))&gt;0),"Neutral",
IF(SUMPRODUCT(--ISNUMBER(SEARCH(TRIM(Keywords!$A$2:$A$16),A652)))&gt;0,"Positive",
IF(SUMPRODUCT(--ISNUMBER(SEARCH(TRIM(Keywords!$A$2:$B$14),A652)))&gt;0,"Negative","Neutral")))</f>
        <v>Positive</v>
      </c>
    </row>
    <row r="653" spans="1:3" hidden="1" x14ac:dyDescent="0.25">
      <c r="A653" t="s">
        <v>405</v>
      </c>
      <c r="B653">
        <v>5</v>
      </c>
      <c r="C653" t="str">
        <f>IF(AND(SUMPRODUCT(--ISNUMBER(SEARCH(TRIM(Keywords!$A$2:$A$16),A653)))&gt;0,
        SUMPRODUCT(--ISNUMBER(SEARCH(TRIM(Keywords!$B$2:$B$14),A653)))&gt;0),"Neutral",
IF(SUMPRODUCT(--ISNUMBER(SEARCH(TRIM(Keywords!$A$2:$A$16),A653)))&gt;0,"Positive",
IF(SUMPRODUCT(--ISNUMBER(SEARCH(TRIM(Keywords!$A$2:$B$14),A653)))&gt;0,"Negative","Neutral")))</f>
        <v>Positive</v>
      </c>
    </row>
    <row r="654" spans="1:3" hidden="1" x14ac:dyDescent="0.25">
      <c r="A654" t="s">
        <v>20</v>
      </c>
      <c r="B654">
        <v>4</v>
      </c>
      <c r="C654" t="str">
        <f>IF(AND(SUMPRODUCT(--ISNUMBER(SEARCH(TRIM(Keywords!$A$2:$A$16),A654)))&gt;0,
        SUMPRODUCT(--ISNUMBER(SEARCH(TRIM(Keywords!$B$2:$B$14),A654)))&gt;0),"Neutral",
IF(SUMPRODUCT(--ISNUMBER(SEARCH(TRIM(Keywords!$A$2:$A$16),A654)))&gt;0,"Positive",
IF(SUMPRODUCT(--ISNUMBER(SEARCH(TRIM(Keywords!$A$2:$B$14),A654)))&gt;0,"Negative","Neutral")))</f>
        <v>Positive</v>
      </c>
    </row>
    <row r="655" spans="1:3" hidden="1" x14ac:dyDescent="0.25">
      <c r="A655" t="s">
        <v>406</v>
      </c>
      <c r="B655">
        <v>5</v>
      </c>
      <c r="C655" t="str">
        <f>IF(AND(SUMPRODUCT(--ISNUMBER(SEARCH(TRIM(Keywords!$A$2:$A$16),A655)))&gt;0,
        SUMPRODUCT(--ISNUMBER(SEARCH(TRIM(Keywords!$B$2:$B$14),A655)))&gt;0),"Neutral",
IF(SUMPRODUCT(--ISNUMBER(SEARCH(TRIM(Keywords!$A$2:$A$16),A655)))&gt;0,"Positive",
IF(SUMPRODUCT(--ISNUMBER(SEARCH(TRIM(Keywords!$A$2:$B$14),A655)))&gt;0,"Negative","Neutral")))</f>
        <v>Positive</v>
      </c>
    </row>
    <row r="656" spans="1:3" hidden="1" x14ac:dyDescent="0.25">
      <c r="A656" t="s">
        <v>2</v>
      </c>
      <c r="B656">
        <v>5</v>
      </c>
      <c r="C656" t="str">
        <f>IF(AND(SUMPRODUCT(--ISNUMBER(SEARCH(TRIM(Keywords!$A$2:$A$16),A656)))&gt;0,
        SUMPRODUCT(--ISNUMBER(SEARCH(TRIM(Keywords!$B$2:$B$14),A656)))&gt;0),"Neutral",
IF(SUMPRODUCT(--ISNUMBER(SEARCH(TRIM(Keywords!$A$2:$A$16),A656)))&gt;0,"Positive",
IF(SUMPRODUCT(--ISNUMBER(SEARCH(TRIM(Keywords!$A$2:$B$14),A656)))&gt;0,"Negative","Neutral")))</f>
        <v>Positive</v>
      </c>
    </row>
    <row r="657" spans="1:3" hidden="1" x14ac:dyDescent="0.25">
      <c r="A657" t="s">
        <v>2</v>
      </c>
      <c r="B657">
        <v>5</v>
      </c>
      <c r="C657" t="str">
        <f>IF(AND(SUMPRODUCT(--ISNUMBER(SEARCH(TRIM(Keywords!$A$2:$A$16),A657)))&gt;0,
        SUMPRODUCT(--ISNUMBER(SEARCH(TRIM(Keywords!$B$2:$B$14),A657)))&gt;0),"Neutral",
IF(SUMPRODUCT(--ISNUMBER(SEARCH(TRIM(Keywords!$A$2:$A$16),A657)))&gt;0,"Positive",
IF(SUMPRODUCT(--ISNUMBER(SEARCH(TRIM(Keywords!$A$2:$B$14),A657)))&gt;0,"Negative","Neutral")))</f>
        <v>Positive</v>
      </c>
    </row>
    <row r="658" spans="1:3" hidden="1" x14ac:dyDescent="0.25">
      <c r="A658" t="s">
        <v>407</v>
      </c>
      <c r="B658">
        <v>1</v>
      </c>
      <c r="C658" t="str">
        <f>IF(AND(SUMPRODUCT(--ISNUMBER(SEARCH(TRIM(Keywords!$A$2:$A$16),A658)))&gt;0,
        SUMPRODUCT(--ISNUMBER(SEARCH(TRIM(Keywords!$B$2:$B$14),A658)))&gt;0),"Neutral",
IF(SUMPRODUCT(--ISNUMBER(SEARCH(TRIM(Keywords!$A$2:$A$16),A658)))&gt;0,"Positive",
IF(SUMPRODUCT(--ISNUMBER(SEARCH(TRIM(Keywords!$A$2:$B$14),A658)))&gt;0,"Negative","Neutral")))</f>
        <v>Negative</v>
      </c>
    </row>
    <row r="659" spans="1:3" hidden="1" x14ac:dyDescent="0.25">
      <c r="A659" t="s">
        <v>59</v>
      </c>
      <c r="B659">
        <v>5</v>
      </c>
      <c r="C659" t="str">
        <f>IF(AND(SUMPRODUCT(--ISNUMBER(SEARCH(TRIM(Keywords!$A$2:$A$16),A659)))&gt;0,
        SUMPRODUCT(--ISNUMBER(SEARCH(TRIM(Keywords!$B$2:$B$14),A659)))&gt;0),"Neutral",
IF(SUMPRODUCT(--ISNUMBER(SEARCH(TRIM(Keywords!$A$2:$A$16),A659)))&gt;0,"Positive",
IF(SUMPRODUCT(--ISNUMBER(SEARCH(TRIM(Keywords!$A$2:$B$14),A659)))&gt;0,"Negative","Neutral")))</f>
        <v>Positive</v>
      </c>
    </row>
    <row r="660" spans="1:3" x14ac:dyDescent="0.25">
      <c r="A660" t="s">
        <v>195</v>
      </c>
      <c r="B660">
        <v>5</v>
      </c>
      <c r="C660" t="str">
        <f>IF(AND(SUMPRODUCT(--ISNUMBER(SEARCH(TRIM(Keywords!$A$2:$A$16),A660)))&gt;0,
        SUMPRODUCT(--ISNUMBER(SEARCH(TRIM(Keywords!$B$2:$B$14),A660)))&gt;0),"Neutral",
IF(SUMPRODUCT(--ISNUMBER(SEARCH(TRIM(Keywords!$A$2:$A$16),A660)))&gt;0,"Positive",
IF(SUMPRODUCT(--ISNUMBER(SEARCH(TRIM(Keywords!$A$2:$B$14),A660)))&gt;0,"Negative","Neutral")))</f>
        <v>Neutral</v>
      </c>
    </row>
    <row r="661" spans="1:3" hidden="1" x14ac:dyDescent="0.25">
      <c r="A661" t="s">
        <v>50</v>
      </c>
      <c r="B661">
        <v>5</v>
      </c>
      <c r="C661" t="str">
        <f>IF(AND(SUMPRODUCT(--ISNUMBER(SEARCH(TRIM(Keywords!$A$2:$A$16),A661)))&gt;0,
        SUMPRODUCT(--ISNUMBER(SEARCH(TRIM(Keywords!$B$2:$B$14),A661)))&gt;0),"Neutral",
IF(SUMPRODUCT(--ISNUMBER(SEARCH(TRIM(Keywords!$A$2:$A$16),A661)))&gt;0,"Positive",
IF(SUMPRODUCT(--ISNUMBER(SEARCH(TRIM(Keywords!$A$2:$B$14),A661)))&gt;0,"Negative","Neutral")))</f>
        <v>Positive</v>
      </c>
    </row>
    <row r="662" spans="1:3" hidden="1" x14ac:dyDescent="0.25">
      <c r="A662" t="s">
        <v>2</v>
      </c>
      <c r="B662">
        <v>4</v>
      </c>
      <c r="C662" t="str">
        <f>IF(AND(SUMPRODUCT(--ISNUMBER(SEARCH(TRIM(Keywords!$A$2:$A$16),A662)))&gt;0,
        SUMPRODUCT(--ISNUMBER(SEARCH(TRIM(Keywords!$B$2:$B$14),A662)))&gt;0),"Neutral",
IF(SUMPRODUCT(--ISNUMBER(SEARCH(TRIM(Keywords!$A$2:$A$16),A662)))&gt;0,"Positive",
IF(SUMPRODUCT(--ISNUMBER(SEARCH(TRIM(Keywords!$A$2:$B$14),A662)))&gt;0,"Negative","Neutral")))</f>
        <v>Positive</v>
      </c>
    </row>
    <row r="663" spans="1:3" hidden="1" x14ac:dyDescent="0.25">
      <c r="A663" t="s">
        <v>408</v>
      </c>
      <c r="B663">
        <v>1</v>
      </c>
      <c r="C663" t="str">
        <f>IF(AND(SUMPRODUCT(--ISNUMBER(SEARCH(TRIM(Keywords!$A$2:$A$16),A663)))&gt;0,
        SUMPRODUCT(--ISNUMBER(SEARCH(TRIM(Keywords!$B$2:$B$14),A663)))&gt;0),"Neutral",
IF(SUMPRODUCT(--ISNUMBER(SEARCH(TRIM(Keywords!$A$2:$A$16),A663)))&gt;0,"Positive",
IF(SUMPRODUCT(--ISNUMBER(SEARCH(TRIM(Keywords!$A$2:$B$14),A663)))&gt;0,"Negative","Neutral")))</f>
        <v>Negative</v>
      </c>
    </row>
    <row r="664" spans="1:3" x14ac:dyDescent="0.25">
      <c r="A664" t="s">
        <v>409</v>
      </c>
      <c r="B664">
        <v>3</v>
      </c>
      <c r="C664" t="str">
        <f>IF(AND(SUMPRODUCT(--ISNUMBER(SEARCH(TRIM(Keywords!$A$2:$A$16),A664)))&gt;0,
        SUMPRODUCT(--ISNUMBER(SEARCH(TRIM(Keywords!$B$2:$B$14),A664)))&gt;0),"Neutral",
IF(SUMPRODUCT(--ISNUMBER(SEARCH(TRIM(Keywords!$A$2:$A$16),A664)))&gt;0,"Positive",
IF(SUMPRODUCT(--ISNUMBER(SEARCH(TRIM(Keywords!$A$2:$B$14),A664)))&gt;0,"Negative","Neutral")))</f>
        <v>Neutral</v>
      </c>
    </row>
    <row r="665" spans="1:3" x14ac:dyDescent="0.25">
      <c r="A665" t="s">
        <v>36</v>
      </c>
      <c r="B665">
        <v>5</v>
      </c>
      <c r="C665" t="str">
        <f>IF(AND(SUMPRODUCT(--ISNUMBER(SEARCH(TRIM(Keywords!$A$2:$A$16),A665)))&gt;0,
        SUMPRODUCT(--ISNUMBER(SEARCH(TRIM(Keywords!$B$2:$B$14),A665)))&gt;0),"Neutral",
IF(SUMPRODUCT(--ISNUMBER(SEARCH(TRIM(Keywords!$A$2:$A$16),A665)))&gt;0,"Positive",
IF(SUMPRODUCT(--ISNUMBER(SEARCH(TRIM(Keywords!$A$2:$B$14),A665)))&gt;0,"Negative","Neutral")))</f>
        <v>Neutral</v>
      </c>
    </row>
    <row r="666" spans="1:3" hidden="1" x14ac:dyDescent="0.25">
      <c r="A666" t="s">
        <v>410</v>
      </c>
      <c r="B666">
        <v>5</v>
      </c>
      <c r="C666" t="str">
        <f>IF(AND(SUMPRODUCT(--ISNUMBER(SEARCH(TRIM(Keywords!$A$2:$A$16),A666)))&gt;0,
        SUMPRODUCT(--ISNUMBER(SEARCH(TRIM(Keywords!$B$2:$B$14),A666)))&gt;0),"Neutral",
IF(SUMPRODUCT(--ISNUMBER(SEARCH(TRIM(Keywords!$A$2:$A$16),A666)))&gt;0,"Positive",
IF(SUMPRODUCT(--ISNUMBER(SEARCH(TRIM(Keywords!$A$2:$B$14),A666)))&gt;0,"Negative","Neutral")))</f>
        <v>Positive</v>
      </c>
    </row>
    <row r="667" spans="1:3" hidden="1" x14ac:dyDescent="0.25">
      <c r="A667" t="s">
        <v>411</v>
      </c>
      <c r="B667">
        <v>1</v>
      </c>
      <c r="C667" t="str">
        <f>IF(AND(SUMPRODUCT(--ISNUMBER(SEARCH(TRIM(Keywords!$A$2:$A$16),A667)))&gt;0,
        SUMPRODUCT(--ISNUMBER(SEARCH(TRIM(Keywords!$B$2:$B$14),A667)))&gt;0),"Neutral",
IF(SUMPRODUCT(--ISNUMBER(SEARCH(TRIM(Keywords!$A$2:$A$16),A667)))&gt;0,"Positive",
IF(SUMPRODUCT(--ISNUMBER(SEARCH(TRIM(Keywords!$A$2:$B$14),A667)))&gt;0,"Negative","Neutral")))</f>
        <v>Negative</v>
      </c>
    </row>
    <row r="668" spans="1:3" hidden="1" x14ac:dyDescent="0.25">
      <c r="A668" t="s">
        <v>339</v>
      </c>
      <c r="B668">
        <v>3</v>
      </c>
      <c r="C668" t="str">
        <f>IF(AND(SUMPRODUCT(--ISNUMBER(SEARCH(TRIM(Keywords!$A$2:$A$16),A668)))&gt;0,
        SUMPRODUCT(--ISNUMBER(SEARCH(TRIM(Keywords!$B$2:$B$14),A668)))&gt;0),"Neutral",
IF(SUMPRODUCT(--ISNUMBER(SEARCH(TRIM(Keywords!$A$2:$A$16),A668)))&gt;0,"Positive",
IF(SUMPRODUCT(--ISNUMBER(SEARCH(TRIM(Keywords!$A$2:$B$14),A668)))&gt;0,"Negative","Neutral")))</f>
        <v>Negative</v>
      </c>
    </row>
    <row r="669" spans="1:3" hidden="1" x14ac:dyDescent="0.25">
      <c r="A669" t="s">
        <v>31</v>
      </c>
      <c r="B669">
        <v>5</v>
      </c>
      <c r="C669" t="str">
        <f>IF(AND(SUMPRODUCT(--ISNUMBER(SEARCH(TRIM(Keywords!$A$2:$A$16),A669)))&gt;0,
        SUMPRODUCT(--ISNUMBER(SEARCH(TRIM(Keywords!$B$2:$B$14),A669)))&gt;0),"Neutral",
IF(SUMPRODUCT(--ISNUMBER(SEARCH(TRIM(Keywords!$A$2:$A$16),A669)))&gt;0,"Positive",
IF(SUMPRODUCT(--ISNUMBER(SEARCH(TRIM(Keywords!$A$2:$B$14),A669)))&gt;0,"Negative","Neutral")))</f>
        <v>Positive</v>
      </c>
    </row>
    <row r="670" spans="1:3" hidden="1" x14ac:dyDescent="0.25">
      <c r="A670" t="s">
        <v>412</v>
      </c>
      <c r="B670">
        <v>1</v>
      </c>
      <c r="C670" t="str">
        <f>IF(AND(SUMPRODUCT(--ISNUMBER(SEARCH(TRIM(Keywords!$A$2:$A$16),A670)))&gt;0,
        SUMPRODUCT(--ISNUMBER(SEARCH(TRIM(Keywords!$B$2:$B$14),A670)))&gt;0),"Neutral",
IF(SUMPRODUCT(--ISNUMBER(SEARCH(TRIM(Keywords!$A$2:$A$16),A670)))&gt;0,"Positive",
IF(SUMPRODUCT(--ISNUMBER(SEARCH(TRIM(Keywords!$A$2:$B$14),A670)))&gt;0,"Negative","Neutral")))</f>
        <v>Negative</v>
      </c>
    </row>
    <row r="671" spans="1:3" hidden="1" x14ac:dyDescent="0.25">
      <c r="A671" t="s">
        <v>200</v>
      </c>
      <c r="B671">
        <v>1</v>
      </c>
      <c r="C671" t="str">
        <f>IF(AND(SUMPRODUCT(--ISNUMBER(SEARCH(TRIM(Keywords!$A$2:$A$16),A671)))&gt;0,
        SUMPRODUCT(--ISNUMBER(SEARCH(TRIM(Keywords!$B$2:$B$14),A671)))&gt;0),"Neutral",
IF(SUMPRODUCT(--ISNUMBER(SEARCH(TRIM(Keywords!$A$2:$A$16),A671)))&gt;0,"Positive",
IF(SUMPRODUCT(--ISNUMBER(SEARCH(TRIM(Keywords!$A$2:$B$14),A671)))&gt;0,"Negative","Neutral")))</f>
        <v>Positive</v>
      </c>
    </row>
    <row r="672" spans="1:3" x14ac:dyDescent="0.25">
      <c r="A672" t="s">
        <v>413</v>
      </c>
      <c r="B672">
        <v>5</v>
      </c>
      <c r="C672" t="str">
        <f>IF(AND(SUMPRODUCT(--ISNUMBER(SEARCH(TRIM(Keywords!$A$2:$A$16),A672)))&gt;0,
        SUMPRODUCT(--ISNUMBER(SEARCH(TRIM(Keywords!$B$2:$B$14),A672)))&gt;0),"Neutral",
IF(SUMPRODUCT(--ISNUMBER(SEARCH(TRIM(Keywords!$A$2:$A$16),A672)))&gt;0,"Positive",
IF(SUMPRODUCT(--ISNUMBER(SEARCH(TRIM(Keywords!$A$2:$B$14),A672)))&gt;0,"Negative","Neutral")))</f>
        <v>Neutral</v>
      </c>
    </row>
    <row r="673" spans="1:3" x14ac:dyDescent="0.25">
      <c r="A673" t="s">
        <v>414</v>
      </c>
      <c r="B673">
        <v>1</v>
      </c>
      <c r="C673" t="str">
        <f>IF(AND(SUMPRODUCT(--ISNUMBER(SEARCH(TRIM(Keywords!$A$2:$A$16),A673)))&gt;0,
        SUMPRODUCT(--ISNUMBER(SEARCH(TRIM(Keywords!$B$2:$B$14),A673)))&gt;0),"Neutral",
IF(SUMPRODUCT(--ISNUMBER(SEARCH(TRIM(Keywords!$A$2:$A$16),A673)))&gt;0,"Positive",
IF(SUMPRODUCT(--ISNUMBER(SEARCH(TRIM(Keywords!$A$2:$B$14),A673)))&gt;0,"Negative","Neutral")))</f>
        <v>Neutral</v>
      </c>
    </row>
    <row r="674" spans="1:3" x14ac:dyDescent="0.25">
      <c r="A674" t="s">
        <v>415</v>
      </c>
      <c r="B674">
        <v>5</v>
      </c>
      <c r="C674" t="str">
        <f>IF(AND(SUMPRODUCT(--ISNUMBER(SEARCH(TRIM(Keywords!$A$2:$A$16),A674)))&gt;0,
        SUMPRODUCT(--ISNUMBER(SEARCH(TRIM(Keywords!$B$2:$B$14),A674)))&gt;0),"Neutral",
IF(SUMPRODUCT(--ISNUMBER(SEARCH(TRIM(Keywords!$A$2:$A$16),A674)))&gt;0,"Positive",
IF(SUMPRODUCT(--ISNUMBER(SEARCH(TRIM(Keywords!$A$2:$B$14),A674)))&gt;0,"Negative","Neutral")))</f>
        <v>Neutral</v>
      </c>
    </row>
    <row r="675" spans="1:3" hidden="1" x14ac:dyDescent="0.25">
      <c r="A675" t="s">
        <v>38</v>
      </c>
      <c r="B675">
        <v>5</v>
      </c>
      <c r="C675" t="str">
        <f>IF(AND(SUMPRODUCT(--ISNUMBER(SEARCH(TRIM(Keywords!$A$2:$A$16),A675)))&gt;0,
        SUMPRODUCT(--ISNUMBER(SEARCH(TRIM(Keywords!$B$2:$B$14),A675)))&gt;0),"Neutral",
IF(SUMPRODUCT(--ISNUMBER(SEARCH(TRIM(Keywords!$A$2:$A$16),A675)))&gt;0,"Positive",
IF(SUMPRODUCT(--ISNUMBER(SEARCH(TRIM(Keywords!$A$2:$B$14),A675)))&gt;0,"Negative","Neutral")))</f>
        <v>Positive</v>
      </c>
    </row>
    <row r="676" spans="1:3" hidden="1" x14ac:dyDescent="0.25">
      <c r="A676" t="s">
        <v>2</v>
      </c>
      <c r="B676">
        <v>5</v>
      </c>
      <c r="C676" t="str">
        <f>IF(AND(SUMPRODUCT(--ISNUMBER(SEARCH(TRIM(Keywords!$A$2:$A$16),A676)))&gt;0,
        SUMPRODUCT(--ISNUMBER(SEARCH(TRIM(Keywords!$B$2:$B$14),A676)))&gt;0),"Neutral",
IF(SUMPRODUCT(--ISNUMBER(SEARCH(TRIM(Keywords!$A$2:$A$16),A676)))&gt;0,"Positive",
IF(SUMPRODUCT(--ISNUMBER(SEARCH(TRIM(Keywords!$A$2:$B$14),A676)))&gt;0,"Negative","Neutral")))</f>
        <v>Positive</v>
      </c>
    </row>
    <row r="677" spans="1:3" hidden="1" x14ac:dyDescent="0.25">
      <c r="A677" t="s">
        <v>50</v>
      </c>
      <c r="B677">
        <v>4</v>
      </c>
      <c r="C677" t="str">
        <f>IF(AND(SUMPRODUCT(--ISNUMBER(SEARCH(TRIM(Keywords!$A$2:$A$16),A677)))&gt;0,
        SUMPRODUCT(--ISNUMBER(SEARCH(TRIM(Keywords!$B$2:$B$14),A677)))&gt;0),"Neutral",
IF(SUMPRODUCT(--ISNUMBER(SEARCH(TRIM(Keywords!$A$2:$A$16),A677)))&gt;0,"Positive",
IF(SUMPRODUCT(--ISNUMBER(SEARCH(TRIM(Keywords!$A$2:$B$14),A677)))&gt;0,"Negative","Neutral")))</f>
        <v>Positive</v>
      </c>
    </row>
    <row r="678" spans="1:3" x14ac:dyDescent="0.25">
      <c r="A678" t="s">
        <v>416</v>
      </c>
      <c r="B678">
        <v>5</v>
      </c>
      <c r="C678" t="str">
        <f>IF(AND(SUMPRODUCT(--ISNUMBER(SEARCH(TRIM(Keywords!$A$2:$A$16),A678)))&gt;0,
        SUMPRODUCT(--ISNUMBER(SEARCH(TRIM(Keywords!$B$2:$B$14),A678)))&gt;0),"Neutral",
IF(SUMPRODUCT(--ISNUMBER(SEARCH(TRIM(Keywords!$A$2:$A$16),A678)))&gt;0,"Positive",
IF(SUMPRODUCT(--ISNUMBER(SEARCH(TRIM(Keywords!$A$2:$B$14),A678)))&gt;0,"Negative","Neutral")))</f>
        <v>Neutral</v>
      </c>
    </row>
    <row r="679" spans="1:3" hidden="1" x14ac:dyDescent="0.25">
      <c r="A679" t="s">
        <v>2</v>
      </c>
      <c r="B679">
        <v>4</v>
      </c>
      <c r="C679" t="str">
        <f>IF(AND(SUMPRODUCT(--ISNUMBER(SEARCH(TRIM(Keywords!$A$2:$A$16),A679)))&gt;0,
        SUMPRODUCT(--ISNUMBER(SEARCH(TRIM(Keywords!$B$2:$B$14),A679)))&gt;0),"Neutral",
IF(SUMPRODUCT(--ISNUMBER(SEARCH(TRIM(Keywords!$A$2:$A$16),A679)))&gt;0,"Positive",
IF(SUMPRODUCT(--ISNUMBER(SEARCH(TRIM(Keywords!$A$2:$B$14),A679)))&gt;0,"Negative","Neutral")))</f>
        <v>Positive</v>
      </c>
    </row>
    <row r="680" spans="1:3" x14ac:dyDescent="0.25">
      <c r="A680" t="s">
        <v>417</v>
      </c>
      <c r="B680">
        <v>3</v>
      </c>
      <c r="C680" t="str">
        <f>IF(AND(SUMPRODUCT(--ISNUMBER(SEARCH(TRIM(Keywords!$A$2:$A$16),A680)))&gt;0,
        SUMPRODUCT(--ISNUMBER(SEARCH(TRIM(Keywords!$B$2:$B$14),A680)))&gt;0),"Neutral",
IF(SUMPRODUCT(--ISNUMBER(SEARCH(TRIM(Keywords!$A$2:$A$16),A680)))&gt;0,"Positive",
IF(SUMPRODUCT(--ISNUMBER(SEARCH(TRIM(Keywords!$A$2:$B$14),A680)))&gt;0,"Negative","Neutral")))</f>
        <v>Neutral</v>
      </c>
    </row>
    <row r="681" spans="1:3" x14ac:dyDescent="0.25">
      <c r="A681" t="s">
        <v>36</v>
      </c>
      <c r="B681">
        <v>3</v>
      </c>
      <c r="C681" t="str">
        <f>IF(AND(SUMPRODUCT(--ISNUMBER(SEARCH(TRIM(Keywords!$A$2:$A$16),A681)))&gt;0,
        SUMPRODUCT(--ISNUMBER(SEARCH(TRIM(Keywords!$B$2:$B$14),A681)))&gt;0),"Neutral",
IF(SUMPRODUCT(--ISNUMBER(SEARCH(TRIM(Keywords!$A$2:$A$16),A681)))&gt;0,"Positive",
IF(SUMPRODUCT(--ISNUMBER(SEARCH(TRIM(Keywords!$A$2:$B$14),A681)))&gt;0,"Negative","Neutral")))</f>
        <v>Neutral</v>
      </c>
    </row>
    <row r="682" spans="1:3" hidden="1" x14ac:dyDescent="0.25">
      <c r="A682" t="s">
        <v>2</v>
      </c>
      <c r="B682">
        <v>5</v>
      </c>
      <c r="C682" t="str">
        <f>IF(AND(SUMPRODUCT(--ISNUMBER(SEARCH(TRIM(Keywords!$A$2:$A$16),A682)))&gt;0,
        SUMPRODUCT(--ISNUMBER(SEARCH(TRIM(Keywords!$B$2:$B$14),A682)))&gt;0),"Neutral",
IF(SUMPRODUCT(--ISNUMBER(SEARCH(TRIM(Keywords!$A$2:$A$16),A682)))&gt;0,"Positive",
IF(SUMPRODUCT(--ISNUMBER(SEARCH(TRIM(Keywords!$A$2:$B$14),A682)))&gt;0,"Negative","Neutral")))</f>
        <v>Positive</v>
      </c>
    </row>
    <row r="683" spans="1:3" hidden="1" x14ac:dyDescent="0.25">
      <c r="A683" t="s">
        <v>418</v>
      </c>
      <c r="B683">
        <v>1</v>
      </c>
      <c r="C683" t="str">
        <f>IF(AND(SUMPRODUCT(--ISNUMBER(SEARCH(TRIM(Keywords!$A$2:$A$16),A683)))&gt;0,
        SUMPRODUCT(--ISNUMBER(SEARCH(TRIM(Keywords!$B$2:$B$14),A683)))&gt;0),"Neutral",
IF(SUMPRODUCT(--ISNUMBER(SEARCH(TRIM(Keywords!$A$2:$A$16),A683)))&gt;0,"Positive",
IF(SUMPRODUCT(--ISNUMBER(SEARCH(TRIM(Keywords!$A$2:$B$14),A683)))&gt;0,"Negative","Neutral")))</f>
        <v>Negative</v>
      </c>
    </row>
    <row r="684" spans="1:3" hidden="1" x14ac:dyDescent="0.25">
      <c r="A684" t="s">
        <v>2</v>
      </c>
      <c r="B684">
        <v>5</v>
      </c>
      <c r="C684" t="str">
        <f>IF(AND(SUMPRODUCT(--ISNUMBER(SEARCH(TRIM(Keywords!$A$2:$A$16),A684)))&gt;0,
        SUMPRODUCT(--ISNUMBER(SEARCH(TRIM(Keywords!$B$2:$B$14),A684)))&gt;0),"Neutral",
IF(SUMPRODUCT(--ISNUMBER(SEARCH(TRIM(Keywords!$A$2:$A$16),A684)))&gt;0,"Positive",
IF(SUMPRODUCT(--ISNUMBER(SEARCH(TRIM(Keywords!$A$2:$B$14),A684)))&gt;0,"Negative","Neutral")))</f>
        <v>Positive</v>
      </c>
    </row>
    <row r="685" spans="1:3" hidden="1" x14ac:dyDescent="0.25">
      <c r="A685" t="s">
        <v>2</v>
      </c>
      <c r="B685">
        <v>5</v>
      </c>
      <c r="C685" t="str">
        <f>IF(AND(SUMPRODUCT(--ISNUMBER(SEARCH(TRIM(Keywords!$A$2:$A$16),A685)))&gt;0,
        SUMPRODUCT(--ISNUMBER(SEARCH(TRIM(Keywords!$B$2:$B$14),A685)))&gt;0),"Neutral",
IF(SUMPRODUCT(--ISNUMBER(SEARCH(TRIM(Keywords!$A$2:$A$16),A685)))&gt;0,"Positive",
IF(SUMPRODUCT(--ISNUMBER(SEARCH(TRIM(Keywords!$A$2:$B$14),A685)))&gt;0,"Negative","Neutral")))</f>
        <v>Positive</v>
      </c>
    </row>
    <row r="686" spans="1:3" hidden="1" x14ac:dyDescent="0.25">
      <c r="A686" t="s">
        <v>37</v>
      </c>
      <c r="B686">
        <v>5</v>
      </c>
      <c r="C686" t="str">
        <f>IF(AND(SUMPRODUCT(--ISNUMBER(SEARCH(TRIM(Keywords!$A$2:$A$16),A686)))&gt;0,
        SUMPRODUCT(--ISNUMBER(SEARCH(TRIM(Keywords!$B$2:$B$14),A686)))&gt;0),"Neutral",
IF(SUMPRODUCT(--ISNUMBER(SEARCH(TRIM(Keywords!$A$2:$A$16),A686)))&gt;0,"Positive",
IF(SUMPRODUCT(--ISNUMBER(SEARCH(TRIM(Keywords!$A$2:$B$14),A686)))&gt;0,"Negative","Neutral")))</f>
        <v>Positive</v>
      </c>
    </row>
    <row r="687" spans="1:3" x14ac:dyDescent="0.25">
      <c r="A687" t="s">
        <v>419</v>
      </c>
      <c r="B687">
        <v>1</v>
      </c>
      <c r="C687" t="str">
        <f>IF(AND(SUMPRODUCT(--ISNUMBER(SEARCH(TRIM(Keywords!$A$2:$A$16),A687)))&gt;0,
        SUMPRODUCT(--ISNUMBER(SEARCH(TRIM(Keywords!$B$2:$B$14),A687)))&gt;0),"Neutral",
IF(SUMPRODUCT(--ISNUMBER(SEARCH(TRIM(Keywords!$A$2:$A$16),A687)))&gt;0,"Positive",
IF(SUMPRODUCT(--ISNUMBER(SEARCH(TRIM(Keywords!$A$2:$B$14),A687)))&gt;0,"Negative","Neutral")))</f>
        <v>Neutral</v>
      </c>
    </row>
    <row r="688" spans="1:3" hidden="1" x14ac:dyDescent="0.25">
      <c r="A688" t="s">
        <v>420</v>
      </c>
      <c r="B688">
        <v>5</v>
      </c>
      <c r="C688" t="str">
        <f>IF(AND(SUMPRODUCT(--ISNUMBER(SEARCH(TRIM(Keywords!$A$2:$A$16),A688)))&gt;0,
        SUMPRODUCT(--ISNUMBER(SEARCH(TRIM(Keywords!$B$2:$B$14),A688)))&gt;0),"Neutral",
IF(SUMPRODUCT(--ISNUMBER(SEARCH(TRIM(Keywords!$A$2:$A$16),A688)))&gt;0,"Positive",
IF(SUMPRODUCT(--ISNUMBER(SEARCH(TRIM(Keywords!$A$2:$B$14),A688)))&gt;0,"Negative","Neutral")))</f>
        <v>Positive</v>
      </c>
    </row>
    <row r="689" spans="1:3" hidden="1" x14ac:dyDescent="0.25">
      <c r="A689" t="s">
        <v>37</v>
      </c>
      <c r="B689">
        <v>5</v>
      </c>
      <c r="C689" t="str">
        <f>IF(AND(SUMPRODUCT(--ISNUMBER(SEARCH(TRIM(Keywords!$A$2:$A$16),A689)))&gt;0,
        SUMPRODUCT(--ISNUMBER(SEARCH(TRIM(Keywords!$B$2:$B$14),A689)))&gt;0),"Neutral",
IF(SUMPRODUCT(--ISNUMBER(SEARCH(TRIM(Keywords!$A$2:$A$16),A689)))&gt;0,"Positive",
IF(SUMPRODUCT(--ISNUMBER(SEARCH(TRIM(Keywords!$A$2:$B$14),A689)))&gt;0,"Negative","Neutral")))</f>
        <v>Positive</v>
      </c>
    </row>
    <row r="690" spans="1:3" hidden="1" x14ac:dyDescent="0.25">
      <c r="A690" t="s">
        <v>2</v>
      </c>
      <c r="B690">
        <v>5</v>
      </c>
      <c r="C690" t="str">
        <f>IF(AND(SUMPRODUCT(--ISNUMBER(SEARCH(TRIM(Keywords!$A$2:$A$16),A690)))&gt;0,
        SUMPRODUCT(--ISNUMBER(SEARCH(TRIM(Keywords!$B$2:$B$14),A690)))&gt;0),"Neutral",
IF(SUMPRODUCT(--ISNUMBER(SEARCH(TRIM(Keywords!$A$2:$A$16),A690)))&gt;0,"Positive",
IF(SUMPRODUCT(--ISNUMBER(SEARCH(TRIM(Keywords!$A$2:$B$14),A690)))&gt;0,"Negative","Neutral")))</f>
        <v>Positive</v>
      </c>
    </row>
    <row r="691" spans="1:3" hidden="1" x14ac:dyDescent="0.25">
      <c r="A691" t="s">
        <v>2</v>
      </c>
      <c r="B691">
        <v>5</v>
      </c>
      <c r="C691" t="str">
        <f>IF(AND(SUMPRODUCT(--ISNUMBER(SEARCH(TRIM(Keywords!$A$2:$A$16),A691)))&gt;0,
        SUMPRODUCT(--ISNUMBER(SEARCH(TRIM(Keywords!$B$2:$B$14),A691)))&gt;0),"Neutral",
IF(SUMPRODUCT(--ISNUMBER(SEARCH(TRIM(Keywords!$A$2:$A$16),A691)))&gt;0,"Positive",
IF(SUMPRODUCT(--ISNUMBER(SEARCH(TRIM(Keywords!$A$2:$B$14),A691)))&gt;0,"Negative","Neutral")))</f>
        <v>Positive</v>
      </c>
    </row>
    <row r="692" spans="1:3" hidden="1" x14ac:dyDescent="0.25">
      <c r="A692" t="s">
        <v>37</v>
      </c>
      <c r="B692">
        <v>5</v>
      </c>
      <c r="C692" t="str">
        <f>IF(AND(SUMPRODUCT(--ISNUMBER(SEARCH(TRIM(Keywords!$A$2:$A$16),A692)))&gt;0,
        SUMPRODUCT(--ISNUMBER(SEARCH(TRIM(Keywords!$B$2:$B$14),A692)))&gt;0),"Neutral",
IF(SUMPRODUCT(--ISNUMBER(SEARCH(TRIM(Keywords!$A$2:$A$16),A692)))&gt;0,"Positive",
IF(SUMPRODUCT(--ISNUMBER(SEARCH(TRIM(Keywords!$A$2:$B$14),A692)))&gt;0,"Negative","Neutral")))</f>
        <v>Positive</v>
      </c>
    </row>
    <row r="693" spans="1:3" hidden="1" x14ac:dyDescent="0.25">
      <c r="A693" t="s">
        <v>2</v>
      </c>
      <c r="B693">
        <v>5</v>
      </c>
      <c r="C693" t="str">
        <f>IF(AND(SUMPRODUCT(--ISNUMBER(SEARCH(TRIM(Keywords!$A$2:$A$16),A693)))&gt;0,
        SUMPRODUCT(--ISNUMBER(SEARCH(TRIM(Keywords!$B$2:$B$14),A693)))&gt;0),"Neutral",
IF(SUMPRODUCT(--ISNUMBER(SEARCH(TRIM(Keywords!$A$2:$A$16),A693)))&gt;0,"Positive",
IF(SUMPRODUCT(--ISNUMBER(SEARCH(TRIM(Keywords!$A$2:$B$14),A693)))&gt;0,"Negative","Neutral")))</f>
        <v>Positive</v>
      </c>
    </row>
    <row r="694" spans="1:3" hidden="1" x14ac:dyDescent="0.25">
      <c r="A694" t="s">
        <v>2</v>
      </c>
      <c r="B694">
        <v>5</v>
      </c>
      <c r="C694" t="str">
        <f>IF(AND(SUMPRODUCT(--ISNUMBER(SEARCH(TRIM(Keywords!$A$2:$A$16),A694)))&gt;0,
        SUMPRODUCT(--ISNUMBER(SEARCH(TRIM(Keywords!$B$2:$B$14),A694)))&gt;0),"Neutral",
IF(SUMPRODUCT(--ISNUMBER(SEARCH(TRIM(Keywords!$A$2:$A$16),A694)))&gt;0,"Positive",
IF(SUMPRODUCT(--ISNUMBER(SEARCH(TRIM(Keywords!$A$2:$B$14),A694)))&gt;0,"Negative","Neutral")))</f>
        <v>Positive</v>
      </c>
    </row>
    <row r="695" spans="1:3" x14ac:dyDescent="0.25">
      <c r="A695" t="s">
        <v>36</v>
      </c>
      <c r="B695">
        <v>5</v>
      </c>
      <c r="C695" t="str">
        <f>IF(AND(SUMPRODUCT(--ISNUMBER(SEARCH(TRIM(Keywords!$A$2:$A$16),A695)))&gt;0,
        SUMPRODUCT(--ISNUMBER(SEARCH(TRIM(Keywords!$B$2:$B$14),A695)))&gt;0),"Neutral",
IF(SUMPRODUCT(--ISNUMBER(SEARCH(TRIM(Keywords!$A$2:$A$16),A695)))&gt;0,"Positive",
IF(SUMPRODUCT(--ISNUMBER(SEARCH(TRIM(Keywords!$A$2:$B$14),A695)))&gt;0,"Negative","Neutral")))</f>
        <v>Neutral</v>
      </c>
    </row>
    <row r="696" spans="1:3" hidden="1" x14ac:dyDescent="0.25">
      <c r="A696" t="s">
        <v>50</v>
      </c>
      <c r="B696">
        <v>5</v>
      </c>
      <c r="C696" t="str">
        <f>IF(AND(SUMPRODUCT(--ISNUMBER(SEARCH(TRIM(Keywords!$A$2:$A$16),A696)))&gt;0,
        SUMPRODUCT(--ISNUMBER(SEARCH(TRIM(Keywords!$B$2:$B$14),A696)))&gt;0),"Neutral",
IF(SUMPRODUCT(--ISNUMBER(SEARCH(TRIM(Keywords!$A$2:$A$16),A696)))&gt;0,"Positive",
IF(SUMPRODUCT(--ISNUMBER(SEARCH(TRIM(Keywords!$A$2:$B$14),A696)))&gt;0,"Negative","Neutral")))</f>
        <v>Positive</v>
      </c>
    </row>
    <row r="697" spans="1:3" hidden="1" x14ac:dyDescent="0.25">
      <c r="A697" t="s">
        <v>421</v>
      </c>
      <c r="B697">
        <v>1</v>
      </c>
      <c r="C697" t="str">
        <f>IF(AND(SUMPRODUCT(--ISNUMBER(SEARCH(TRIM(Keywords!$A$2:$A$16),A697)))&gt;0,
        SUMPRODUCT(--ISNUMBER(SEARCH(TRIM(Keywords!$B$2:$B$14),A697)))&gt;0),"Neutral",
IF(SUMPRODUCT(--ISNUMBER(SEARCH(TRIM(Keywords!$A$2:$A$16),A697)))&gt;0,"Positive",
IF(SUMPRODUCT(--ISNUMBER(SEARCH(TRIM(Keywords!$A$2:$B$14),A697)))&gt;0,"Negative","Neutral")))</f>
        <v>Negative</v>
      </c>
    </row>
    <row r="698" spans="1:3" hidden="1" x14ac:dyDescent="0.25">
      <c r="A698" t="s">
        <v>422</v>
      </c>
      <c r="B698">
        <v>5</v>
      </c>
      <c r="C698" t="str">
        <f>IF(AND(SUMPRODUCT(--ISNUMBER(SEARCH(TRIM(Keywords!$A$2:$A$16),A698)))&gt;0,
        SUMPRODUCT(--ISNUMBER(SEARCH(TRIM(Keywords!$B$2:$B$14),A698)))&gt;0),"Neutral",
IF(SUMPRODUCT(--ISNUMBER(SEARCH(TRIM(Keywords!$A$2:$A$16),A698)))&gt;0,"Positive",
IF(SUMPRODUCT(--ISNUMBER(SEARCH(TRIM(Keywords!$A$2:$B$14),A698)))&gt;0,"Negative","Neutral")))</f>
        <v>Positive</v>
      </c>
    </row>
    <row r="699" spans="1:3" hidden="1" x14ac:dyDescent="0.25">
      <c r="A699" t="s">
        <v>2</v>
      </c>
      <c r="B699">
        <v>5</v>
      </c>
      <c r="C699" t="str">
        <f>IF(AND(SUMPRODUCT(--ISNUMBER(SEARCH(TRIM(Keywords!$A$2:$A$16),A699)))&gt;0,
        SUMPRODUCT(--ISNUMBER(SEARCH(TRIM(Keywords!$B$2:$B$14),A699)))&gt;0),"Neutral",
IF(SUMPRODUCT(--ISNUMBER(SEARCH(TRIM(Keywords!$A$2:$A$16),A699)))&gt;0,"Positive",
IF(SUMPRODUCT(--ISNUMBER(SEARCH(TRIM(Keywords!$A$2:$B$14),A699)))&gt;0,"Negative","Neutral")))</f>
        <v>Positive</v>
      </c>
    </row>
    <row r="700" spans="1:3" x14ac:dyDescent="0.25">
      <c r="A700" t="s">
        <v>36</v>
      </c>
      <c r="B700">
        <v>3</v>
      </c>
      <c r="C700" t="str">
        <f>IF(AND(SUMPRODUCT(--ISNUMBER(SEARCH(TRIM(Keywords!$A$2:$A$16),A700)))&gt;0,
        SUMPRODUCT(--ISNUMBER(SEARCH(TRIM(Keywords!$B$2:$B$14),A700)))&gt;0),"Neutral",
IF(SUMPRODUCT(--ISNUMBER(SEARCH(TRIM(Keywords!$A$2:$A$16),A700)))&gt;0,"Positive",
IF(SUMPRODUCT(--ISNUMBER(SEARCH(TRIM(Keywords!$A$2:$B$14),A700)))&gt;0,"Negative","Neutral")))</f>
        <v>Neutral</v>
      </c>
    </row>
    <row r="701" spans="1:3" hidden="1" x14ac:dyDescent="0.25">
      <c r="A701" t="s">
        <v>423</v>
      </c>
      <c r="B701">
        <v>5</v>
      </c>
      <c r="C701" t="str">
        <f>IF(AND(SUMPRODUCT(--ISNUMBER(SEARCH(TRIM(Keywords!$A$2:$A$16),A701)))&gt;0,
        SUMPRODUCT(--ISNUMBER(SEARCH(TRIM(Keywords!$B$2:$B$14),A701)))&gt;0),"Neutral",
IF(SUMPRODUCT(--ISNUMBER(SEARCH(TRIM(Keywords!$A$2:$A$16),A701)))&gt;0,"Positive",
IF(SUMPRODUCT(--ISNUMBER(SEARCH(TRIM(Keywords!$A$2:$B$14),A701)))&gt;0,"Negative","Neutral")))</f>
        <v>Positive</v>
      </c>
    </row>
    <row r="702" spans="1:3" x14ac:dyDescent="0.25">
      <c r="A702" t="s">
        <v>424</v>
      </c>
      <c r="B702">
        <v>3</v>
      </c>
      <c r="C702" t="str">
        <f>IF(AND(SUMPRODUCT(--ISNUMBER(SEARCH(TRIM(Keywords!$A$2:$A$16),A702)))&gt;0,
        SUMPRODUCT(--ISNUMBER(SEARCH(TRIM(Keywords!$B$2:$B$14),A702)))&gt;0),"Neutral",
IF(SUMPRODUCT(--ISNUMBER(SEARCH(TRIM(Keywords!$A$2:$A$16),A702)))&gt;0,"Positive",
IF(SUMPRODUCT(--ISNUMBER(SEARCH(TRIM(Keywords!$A$2:$B$14),A702)))&gt;0,"Negative","Neutral")))</f>
        <v>Neutral</v>
      </c>
    </row>
    <row r="703" spans="1:3" x14ac:dyDescent="0.25">
      <c r="A703" t="s">
        <v>425</v>
      </c>
      <c r="B703">
        <v>5</v>
      </c>
      <c r="C703" t="str">
        <f>IF(AND(SUMPRODUCT(--ISNUMBER(SEARCH(TRIM(Keywords!$A$2:$A$16),A703)))&gt;0,
        SUMPRODUCT(--ISNUMBER(SEARCH(TRIM(Keywords!$B$2:$B$14),A703)))&gt;0),"Neutral",
IF(SUMPRODUCT(--ISNUMBER(SEARCH(TRIM(Keywords!$A$2:$A$16),A703)))&gt;0,"Positive",
IF(SUMPRODUCT(--ISNUMBER(SEARCH(TRIM(Keywords!$A$2:$B$14),A703)))&gt;0,"Negative","Neutral")))</f>
        <v>Neutral</v>
      </c>
    </row>
    <row r="704" spans="1:3" hidden="1" x14ac:dyDescent="0.25">
      <c r="A704" t="s">
        <v>2</v>
      </c>
      <c r="B704">
        <v>4</v>
      </c>
      <c r="C704" t="str">
        <f>IF(AND(SUMPRODUCT(--ISNUMBER(SEARCH(TRIM(Keywords!$A$2:$A$16),A704)))&gt;0,
        SUMPRODUCT(--ISNUMBER(SEARCH(TRIM(Keywords!$B$2:$B$14),A704)))&gt;0),"Neutral",
IF(SUMPRODUCT(--ISNUMBER(SEARCH(TRIM(Keywords!$A$2:$A$16),A704)))&gt;0,"Positive",
IF(SUMPRODUCT(--ISNUMBER(SEARCH(TRIM(Keywords!$A$2:$B$14),A704)))&gt;0,"Negative","Neutral")))</f>
        <v>Positive</v>
      </c>
    </row>
    <row r="705" spans="1:3" hidden="1" x14ac:dyDescent="0.25">
      <c r="A705" t="s">
        <v>426</v>
      </c>
      <c r="B705">
        <v>5</v>
      </c>
      <c r="C705" t="str">
        <f>IF(AND(SUMPRODUCT(--ISNUMBER(SEARCH(TRIM(Keywords!$A$2:$A$16),A705)))&gt;0,
        SUMPRODUCT(--ISNUMBER(SEARCH(TRIM(Keywords!$B$2:$B$14),A705)))&gt;0),"Neutral",
IF(SUMPRODUCT(--ISNUMBER(SEARCH(TRIM(Keywords!$A$2:$A$16),A705)))&gt;0,"Positive",
IF(SUMPRODUCT(--ISNUMBER(SEARCH(TRIM(Keywords!$A$2:$B$14),A705)))&gt;0,"Negative","Neutral")))</f>
        <v>Positive</v>
      </c>
    </row>
    <row r="706" spans="1:3" x14ac:dyDescent="0.25">
      <c r="A706" t="s">
        <v>64</v>
      </c>
      <c r="B706">
        <v>3</v>
      </c>
      <c r="C706" t="str">
        <f>IF(AND(SUMPRODUCT(--ISNUMBER(SEARCH(TRIM(Keywords!$A$2:$A$16),A706)))&gt;0,
        SUMPRODUCT(--ISNUMBER(SEARCH(TRIM(Keywords!$B$2:$B$14),A706)))&gt;0),"Neutral",
IF(SUMPRODUCT(--ISNUMBER(SEARCH(TRIM(Keywords!$A$2:$A$16),A706)))&gt;0,"Positive",
IF(SUMPRODUCT(--ISNUMBER(SEARCH(TRIM(Keywords!$A$2:$B$14),A706)))&gt;0,"Negative","Neutral")))</f>
        <v>Neutral</v>
      </c>
    </row>
    <row r="707" spans="1:3" hidden="1" x14ac:dyDescent="0.25">
      <c r="A707" t="s">
        <v>422</v>
      </c>
      <c r="B707">
        <v>5</v>
      </c>
      <c r="C707" t="str">
        <f>IF(AND(SUMPRODUCT(--ISNUMBER(SEARCH(TRIM(Keywords!$A$2:$A$16),A707)))&gt;0,
        SUMPRODUCT(--ISNUMBER(SEARCH(TRIM(Keywords!$B$2:$B$14),A707)))&gt;0),"Neutral",
IF(SUMPRODUCT(--ISNUMBER(SEARCH(TRIM(Keywords!$A$2:$A$16),A707)))&gt;0,"Positive",
IF(SUMPRODUCT(--ISNUMBER(SEARCH(TRIM(Keywords!$A$2:$B$14),A707)))&gt;0,"Negative","Neutral")))</f>
        <v>Positive</v>
      </c>
    </row>
    <row r="708" spans="1:3" hidden="1" x14ac:dyDescent="0.25">
      <c r="A708" t="s">
        <v>37</v>
      </c>
      <c r="B708">
        <v>4</v>
      </c>
      <c r="C708" t="str">
        <f>IF(AND(SUMPRODUCT(--ISNUMBER(SEARCH(TRIM(Keywords!$A$2:$A$16),A708)))&gt;0,
        SUMPRODUCT(--ISNUMBER(SEARCH(TRIM(Keywords!$B$2:$B$14),A708)))&gt;0),"Neutral",
IF(SUMPRODUCT(--ISNUMBER(SEARCH(TRIM(Keywords!$A$2:$A$16),A708)))&gt;0,"Positive",
IF(SUMPRODUCT(--ISNUMBER(SEARCH(TRIM(Keywords!$A$2:$B$14),A708)))&gt;0,"Negative","Neutral")))</f>
        <v>Positive</v>
      </c>
    </row>
    <row r="709" spans="1:3" hidden="1" x14ac:dyDescent="0.25">
      <c r="A709" t="s">
        <v>38</v>
      </c>
      <c r="B709">
        <v>5</v>
      </c>
      <c r="C709" t="str">
        <f>IF(AND(SUMPRODUCT(--ISNUMBER(SEARCH(TRIM(Keywords!$A$2:$A$16),A709)))&gt;0,
        SUMPRODUCT(--ISNUMBER(SEARCH(TRIM(Keywords!$B$2:$B$14),A709)))&gt;0),"Neutral",
IF(SUMPRODUCT(--ISNUMBER(SEARCH(TRIM(Keywords!$A$2:$A$16),A709)))&gt;0,"Positive",
IF(SUMPRODUCT(--ISNUMBER(SEARCH(TRIM(Keywords!$A$2:$B$14),A709)))&gt;0,"Negative","Neutral")))</f>
        <v>Positive</v>
      </c>
    </row>
    <row r="710" spans="1:3" hidden="1" x14ac:dyDescent="0.25">
      <c r="A710" t="s">
        <v>2</v>
      </c>
      <c r="B710">
        <v>5</v>
      </c>
      <c r="C710" t="str">
        <f>IF(AND(SUMPRODUCT(--ISNUMBER(SEARCH(TRIM(Keywords!$A$2:$A$16),A710)))&gt;0,
        SUMPRODUCT(--ISNUMBER(SEARCH(TRIM(Keywords!$B$2:$B$14),A710)))&gt;0),"Neutral",
IF(SUMPRODUCT(--ISNUMBER(SEARCH(TRIM(Keywords!$A$2:$A$16),A710)))&gt;0,"Positive",
IF(SUMPRODUCT(--ISNUMBER(SEARCH(TRIM(Keywords!$A$2:$B$14),A710)))&gt;0,"Negative","Neutral")))</f>
        <v>Positive</v>
      </c>
    </row>
    <row r="711" spans="1:3" hidden="1" x14ac:dyDescent="0.25">
      <c r="A711" t="s">
        <v>2</v>
      </c>
      <c r="B711">
        <v>4</v>
      </c>
      <c r="C711" t="str">
        <f>IF(AND(SUMPRODUCT(--ISNUMBER(SEARCH(TRIM(Keywords!$A$2:$A$16),A711)))&gt;0,
        SUMPRODUCT(--ISNUMBER(SEARCH(TRIM(Keywords!$B$2:$B$14),A711)))&gt;0),"Neutral",
IF(SUMPRODUCT(--ISNUMBER(SEARCH(TRIM(Keywords!$A$2:$A$16),A711)))&gt;0,"Positive",
IF(SUMPRODUCT(--ISNUMBER(SEARCH(TRIM(Keywords!$A$2:$B$14),A711)))&gt;0,"Negative","Neutral")))</f>
        <v>Positive</v>
      </c>
    </row>
    <row r="712" spans="1:3" hidden="1" x14ac:dyDescent="0.25">
      <c r="A712" t="s">
        <v>2</v>
      </c>
      <c r="B712">
        <v>5</v>
      </c>
      <c r="C712" t="str">
        <f>IF(AND(SUMPRODUCT(--ISNUMBER(SEARCH(TRIM(Keywords!$A$2:$A$16),A712)))&gt;0,
        SUMPRODUCT(--ISNUMBER(SEARCH(TRIM(Keywords!$B$2:$B$14),A712)))&gt;0),"Neutral",
IF(SUMPRODUCT(--ISNUMBER(SEARCH(TRIM(Keywords!$A$2:$A$16),A712)))&gt;0,"Positive",
IF(SUMPRODUCT(--ISNUMBER(SEARCH(TRIM(Keywords!$A$2:$B$14),A712)))&gt;0,"Negative","Neutral")))</f>
        <v>Positive</v>
      </c>
    </row>
    <row r="713" spans="1:3" hidden="1" x14ac:dyDescent="0.25">
      <c r="A713" t="s">
        <v>37</v>
      </c>
      <c r="B713">
        <v>5</v>
      </c>
      <c r="C713" t="str">
        <f>IF(AND(SUMPRODUCT(--ISNUMBER(SEARCH(TRIM(Keywords!$A$2:$A$16),A713)))&gt;0,
        SUMPRODUCT(--ISNUMBER(SEARCH(TRIM(Keywords!$B$2:$B$14),A713)))&gt;0),"Neutral",
IF(SUMPRODUCT(--ISNUMBER(SEARCH(TRIM(Keywords!$A$2:$A$16),A713)))&gt;0,"Positive",
IF(SUMPRODUCT(--ISNUMBER(SEARCH(TRIM(Keywords!$A$2:$B$14),A713)))&gt;0,"Negative","Neutral")))</f>
        <v>Positive</v>
      </c>
    </row>
    <row r="714" spans="1:3" x14ac:dyDescent="0.25">
      <c r="A714" t="s">
        <v>64</v>
      </c>
      <c r="B714">
        <v>5</v>
      </c>
      <c r="C714" t="str">
        <f>IF(AND(SUMPRODUCT(--ISNUMBER(SEARCH(TRIM(Keywords!$A$2:$A$16),A714)))&gt;0,
        SUMPRODUCT(--ISNUMBER(SEARCH(TRIM(Keywords!$B$2:$B$14),A714)))&gt;0),"Neutral",
IF(SUMPRODUCT(--ISNUMBER(SEARCH(TRIM(Keywords!$A$2:$A$16),A714)))&gt;0,"Positive",
IF(SUMPRODUCT(--ISNUMBER(SEARCH(TRIM(Keywords!$A$2:$B$14),A714)))&gt;0,"Negative","Neutral")))</f>
        <v>Neutral</v>
      </c>
    </row>
    <row r="715" spans="1:3" hidden="1" x14ac:dyDescent="0.25">
      <c r="A715" t="s">
        <v>2</v>
      </c>
      <c r="B715">
        <v>4</v>
      </c>
      <c r="C715" t="str">
        <f>IF(AND(SUMPRODUCT(--ISNUMBER(SEARCH(TRIM(Keywords!$A$2:$A$16),A715)))&gt;0,
        SUMPRODUCT(--ISNUMBER(SEARCH(TRIM(Keywords!$B$2:$B$14),A715)))&gt;0),"Neutral",
IF(SUMPRODUCT(--ISNUMBER(SEARCH(TRIM(Keywords!$A$2:$A$16),A715)))&gt;0,"Positive",
IF(SUMPRODUCT(--ISNUMBER(SEARCH(TRIM(Keywords!$A$2:$B$14),A715)))&gt;0,"Negative","Neutral")))</f>
        <v>Positive</v>
      </c>
    </row>
    <row r="716" spans="1:3" x14ac:dyDescent="0.25">
      <c r="A716" t="s">
        <v>427</v>
      </c>
      <c r="B716">
        <v>1</v>
      </c>
      <c r="C716" t="str">
        <f>IF(AND(SUMPRODUCT(--ISNUMBER(SEARCH(TRIM(Keywords!$A$2:$A$16),A716)))&gt;0,
        SUMPRODUCT(--ISNUMBER(SEARCH(TRIM(Keywords!$B$2:$B$14),A716)))&gt;0),"Neutral",
IF(SUMPRODUCT(--ISNUMBER(SEARCH(TRIM(Keywords!$A$2:$A$16),A716)))&gt;0,"Positive",
IF(SUMPRODUCT(--ISNUMBER(SEARCH(TRIM(Keywords!$A$2:$B$14),A716)))&gt;0,"Negative","Neutral")))</f>
        <v>Neutral</v>
      </c>
    </row>
    <row r="717" spans="1:3" hidden="1" x14ac:dyDescent="0.25">
      <c r="A717" t="s">
        <v>428</v>
      </c>
      <c r="B717">
        <v>1</v>
      </c>
      <c r="C717" t="str">
        <f>IF(AND(SUMPRODUCT(--ISNUMBER(SEARCH(TRIM(Keywords!$A$2:$A$16),A717)))&gt;0,
        SUMPRODUCT(--ISNUMBER(SEARCH(TRIM(Keywords!$B$2:$B$14),A717)))&gt;0),"Neutral",
IF(SUMPRODUCT(--ISNUMBER(SEARCH(TRIM(Keywords!$A$2:$A$16),A717)))&gt;0,"Positive",
IF(SUMPRODUCT(--ISNUMBER(SEARCH(TRIM(Keywords!$A$2:$B$14),A717)))&gt;0,"Negative","Neutral")))</f>
        <v>Negative</v>
      </c>
    </row>
    <row r="718" spans="1:3" hidden="1" x14ac:dyDescent="0.25">
      <c r="A718" t="s">
        <v>38</v>
      </c>
      <c r="B718">
        <v>5</v>
      </c>
      <c r="C718" t="str">
        <f>IF(AND(SUMPRODUCT(--ISNUMBER(SEARCH(TRIM(Keywords!$A$2:$A$16),A718)))&gt;0,
        SUMPRODUCT(--ISNUMBER(SEARCH(TRIM(Keywords!$B$2:$B$14),A718)))&gt;0),"Neutral",
IF(SUMPRODUCT(--ISNUMBER(SEARCH(TRIM(Keywords!$A$2:$A$16),A718)))&gt;0,"Positive",
IF(SUMPRODUCT(--ISNUMBER(SEARCH(TRIM(Keywords!$A$2:$B$14),A718)))&gt;0,"Negative","Neutral")))</f>
        <v>Positive</v>
      </c>
    </row>
    <row r="719" spans="1:3" hidden="1" x14ac:dyDescent="0.25">
      <c r="A719" t="s">
        <v>2</v>
      </c>
      <c r="B719">
        <v>5</v>
      </c>
      <c r="C719" t="str">
        <f>IF(AND(SUMPRODUCT(--ISNUMBER(SEARCH(TRIM(Keywords!$A$2:$A$16),A719)))&gt;0,
        SUMPRODUCT(--ISNUMBER(SEARCH(TRIM(Keywords!$B$2:$B$14),A719)))&gt;0),"Neutral",
IF(SUMPRODUCT(--ISNUMBER(SEARCH(TRIM(Keywords!$A$2:$A$16),A719)))&gt;0,"Positive",
IF(SUMPRODUCT(--ISNUMBER(SEARCH(TRIM(Keywords!$A$2:$B$14),A719)))&gt;0,"Negative","Neutral")))</f>
        <v>Positive</v>
      </c>
    </row>
    <row r="720" spans="1:3" x14ac:dyDescent="0.25">
      <c r="A720" t="s">
        <v>36</v>
      </c>
      <c r="B720">
        <v>5</v>
      </c>
      <c r="C720" t="str">
        <f>IF(AND(SUMPRODUCT(--ISNUMBER(SEARCH(TRIM(Keywords!$A$2:$A$16),A720)))&gt;0,
        SUMPRODUCT(--ISNUMBER(SEARCH(TRIM(Keywords!$B$2:$B$14),A720)))&gt;0),"Neutral",
IF(SUMPRODUCT(--ISNUMBER(SEARCH(TRIM(Keywords!$A$2:$A$16),A720)))&gt;0,"Positive",
IF(SUMPRODUCT(--ISNUMBER(SEARCH(TRIM(Keywords!$A$2:$B$14),A720)))&gt;0,"Negative","Neutral")))</f>
        <v>Neutral</v>
      </c>
    </row>
    <row r="721" spans="1:3" x14ac:dyDescent="0.25">
      <c r="A721" t="s">
        <v>429</v>
      </c>
      <c r="B721">
        <v>3</v>
      </c>
      <c r="C721" t="str">
        <f>IF(AND(SUMPRODUCT(--ISNUMBER(SEARCH(TRIM(Keywords!$A$2:$A$16),A721)))&gt;0,
        SUMPRODUCT(--ISNUMBER(SEARCH(TRIM(Keywords!$B$2:$B$14),A721)))&gt;0),"Neutral",
IF(SUMPRODUCT(--ISNUMBER(SEARCH(TRIM(Keywords!$A$2:$A$16),A721)))&gt;0,"Positive",
IF(SUMPRODUCT(--ISNUMBER(SEARCH(TRIM(Keywords!$A$2:$B$14),A721)))&gt;0,"Negative","Neutral")))</f>
        <v>Neutral</v>
      </c>
    </row>
    <row r="722" spans="1:3" hidden="1" x14ac:dyDescent="0.25">
      <c r="A722" t="s">
        <v>430</v>
      </c>
      <c r="B722">
        <v>1</v>
      </c>
      <c r="C722" t="str">
        <f>IF(AND(SUMPRODUCT(--ISNUMBER(SEARCH(TRIM(Keywords!$A$2:$A$16),A722)))&gt;0,
        SUMPRODUCT(--ISNUMBER(SEARCH(TRIM(Keywords!$B$2:$B$14),A722)))&gt;0),"Neutral",
IF(SUMPRODUCT(--ISNUMBER(SEARCH(TRIM(Keywords!$A$2:$A$16),A722)))&gt;0,"Positive",
IF(SUMPRODUCT(--ISNUMBER(SEARCH(TRIM(Keywords!$A$2:$B$14),A722)))&gt;0,"Negative","Neutral")))</f>
        <v>Negative</v>
      </c>
    </row>
    <row r="723" spans="1:3" x14ac:dyDescent="0.25">
      <c r="A723" t="s">
        <v>138</v>
      </c>
      <c r="B723">
        <v>5</v>
      </c>
      <c r="C723" t="str">
        <f>IF(AND(SUMPRODUCT(--ISNUMBER(SEARCH(TRIM(Keywords!$A$2:$A$16),A723)))&gt;0,
        SUMPRODUCT(--ISNUMBER(SEARCH(TRIM(Keywords!$B$2:$B$14),A723)))&gt;0),"Neutral",
IF(SUMPRODUCT(--ISNUMBER(SEARCH(TRIM(Keywords!$A$2:$A$16),A723)))&gt;0,"Positive",
IF(SUMPRODUCT(--ISNUMBER(SEARCH(TRIM(Keywords!$A$2:$B$14),A723)))&gt;0,"Negative","Neutral")))</f>
        <v>Neutral</v>
      </c>
    </row>
    <row r="724" spans="1:3" hidden="1" x14ac:dyDescent="0.25">
      <c r="A724" t="s">
        <v>39</v>
      </c>
      <c r="B724">
        <v>5</v>
      </c>
      <c r="C724" t="str">
        <f>IF(AND(SUMPRODUCT(--ISNUMBER(SEARCH(TRIM(Keywords!$A$2:$A$16),A724)))&gt;0,
        SUMPRODUCT(--ISNUMBER(SEARCH(TRIM(Keywords!$B$2:$B$14),A724)))&gt;0),"Neutral",
IF(SUMPRODUCT(--ISNUMBER(SEARCH(TRIM(Keywords!$A$2:$A$16),A724)))&gt;0,"Positive",
IF(SUMPRODUCT(--ISNUMBER(SEARCH(TRIM(Keywords!$A$2:$B$14),A724)))&gt;0,"Negative","Neutral")))</f>
        <v>Positive</v>
      </c>
    </row>
    <row r="725" spans="1:3" hidden="1" x14ac:dyDescent="0.25">
      <c r="A725" t="s">
        <v>2</v>
      </c>
      <c r="B725">
        <v>4</v>
      </c>
      <c r="C725" t="str">
        <f>IF(AND(SUMPRODUCT(--ISNUMBER(SEARCH(TRIM(Keywords!$A$2:$A$16),A725)))&gt;0,
        SUMPRODUCT(--ISNUMBER(SEARCH(TRIM(Keywords!$B$2:$B$14),A725)))&gt;0),"Neutral",
IF(SUMPRODUCT(--ISNUMBER(SEARCH(TRIM(Keywords!$A$2:$A$16),A725)))&gt;0,"Positive",
IF(SUMPRODUCT(--ISNUMBER(SEARCH(TRIM(Keywords!$A$2:$B$14),A725)))&gt;0,"Negative","Neutral")))</f>
        <v>Positive</v>
      </c>
    </row>
    <row r="726" spans="1:3" hidden="1" x14ac:dyDescent="0.25">
      <c r="A726" t="s">
        <v>2</v>
      </c>
      <c r="B726">
        <v>5</v>
      </c>
      <c r="C726" t="str">
        <f>IF(AND(SUMPRODUCT(--ISNUMBER(SEARCH(TRIM(Keywords!$A$2:$A$16),A726)))&gt;0,
        SUMPRODUCT(--ISNUMBER(SEARCH(TRIM(Keywords!$B$2:$B$14),A726)))&gt;0),"Neutral",
IF(SUMPRODUCT(--ISNUMBER(SEARCH(TRIM(Keywords!$A$2:$A$16),A726)))&gt;0,"Positive",
IF(SUMPRODUCT(--ISNUMBER(SEARCH(TRIM(Keywords!$A$2:$B$14),A726)))&gt;0,"Negative","Neutral")))</f>
        <v>Positive</v>
      </c>
    </row>
    <row r="727" spans="1:3" hidden="1" x14ac:dyDescent="0.25">
      <c r="A727" t="s">
        <v>24</v>
      </c>
      <c r="B727">
        <v>5</v>
      </c>
      <c r="C727" t="str">
        <f>IF(AND(SUMPRODUCT(--ISNUMBER(SEARCH(TRIM(Keywords!$A$2:$A$16),A727)))&gt;0,
        SUMPRODUCT(--ISNUMBER(SEARCH(TRIM(Keywords!$B$2:$B$14),A727)))&gt;0),"Neutral",
IF(SUMPRODUCT(--ISNUMBER(SEARCH(TRIM(Keywords!$A$2:$A$16),A727)))&gt;0,"Positive",
IF(SUMPRODUCT(--ISNUMBER(SEARCH(TRIM(Keywords!$A$2:$B$14),A727)))&gt;0,"Negative","Neutral")))</f>
        <v>Positive</v>
      </c>
    </row>
    <row r="728" spans="1:3" x14ac:dyDescent="0.25">
      <c r="A728" t="s">
        <v>222</v>
      </c>
      <c r="B728">
        <v>4</v>
      </c>
      <c r="C728" t="str">
        <f>IF(AND(SUMPRODUCT(--ISNUMBER(SEARCH(TRIM(Keywords!$A$2:$A$16),A728)))&gt;0,
        SUMPRODUCT(--ISNUMBER(SEARCH(TRIM(Keywords!$B$2:$B$14),A728)))&gt;0),"Neutral",
IF(SUMPRODUCT(--ISNUMBER(SEARCH(TRIM(Keywords!$A$2:$A$16),A728)))&gt;0,"Positive",
IF(SUMPRODUCT(--ISNUMBER(SEARCH(TRIM(Keywords!$A$2:$B$14),A728)))&gt;0,"Negative","Neutral")))</f>
        <v>Neutral</v>
      </c>
    </row>
    <row r="729" spans="1:3" hidden="1" x14ac:dyDescent="0.25">
      <c r="A729" t="s">
        <v>431</v>
      </c>
      <c r="B729">
        <v>5</v>
      </c>
      <c r="C729" t="str">
        <f>IF(AND(SUMPRODUCT(--ISNUMBER(SEARCH(TRIM(Keywords!$A$2:$A$16),A729)))&gt;0,
        SUMPRODUCT(--ISNUMBER(SEARCH(TRIM(Keywords!$B$2:$B$14),A729)))&gt;0),"Neutral",
IF(SUMPRODUCT(--ISNUMBER(SEARCH(TRIM(Keywords!$A$2:$A$16),A729)))&gt;0,"Positive",
IF(SUMPRODUCT(--ISNUMBER(SEARCH(TRIM(Keywords!$A$2:$B$14),A729)))&gt;0,"Negative","Neutral")))</f>
        <v>Positive</v>
      </c>
    </row>
    <row r="730" spans="1:3" hidden="1" x14ac:dyDescent="0.25">
      <c r="A730" t="s">
        <v>2</v>
      </c>
      <c r="B730">
        <v>4</v>
      </c>
      <c r="C730" t="str">
        <f>IF(AND(SUMPRODUCT(--ISNUMBER(SEARCH(TRIM(Keywords!$A$2:$A$16),A730)))&gt;0,
        SUMPRODUCT(--ISNUMBER(SEARCH(TRIM(Keywords!$B$2:$B$14),A730)))&gt;0),"Neutral",
IF(SUMPRODUCT(--ISNUMBER(SEARCH(TRIM(Keywords!$A$2:$A$16),A730)))&gt;0,"Positive",
IF(SUMPRODUCT(--ISNUMBER(SEARCH(TRIM(Keywords!$A$2:$B$14),A730)))&gt;0,"Negative","Neutral")))</f>
        <v>Positive</v>
      </c>
    </row>
    <row r="731" spans="1:3" hidden="1" x14ac:dyDescent="0.25">
      <c r="A731" t="s">
        <v>432</v>
      </c>
      <c r="B731">
        <v>5</v>
      </c>
      <c r="C731" t="str">
        <f>IF(AND(SUMPRODUCT(--ISNUMBER(SEARCH(TRIM(Keywords!$A$2:$A$16),A731)))&gt;0,
        SUMPRODUCT(--ISNUMBER(SEARCH(TRIM(Keywords!$B$2:$B$14),A731)))&gt;0),"Neutral",
IF(SUMPRODUCT(--ISNUMBER(SEARCH(TRIM(Keywords!$A$2:$A$16),A731)))&gt;0,"Positive",
IF(SUMPRODUCT(--ISNUMBER(SEARCH(TRIM(Keywords!$A$2:$B$14),A731)))&gt;0,"Negative","Neutral")))</f>
        <v>Positive</v>
      </c>
    </row>
    <row r="732" spans="1:3" x14ac:dyDescent="0.25">
      <c r="A732" t="s">
        <v>433</v>
      </c>
      <c r="B732">
        <v>1</v>
      </c>
      <c r="C732" t="str">
        <f>IF(AND(SUMPRODUCT(--ISNUMBER(SEARCH(TRIM(Keywords!$A$2:$A$16),A732)))&gt;0,
        SUMPRODUCT(--ISNUMBER(SEARCH(TRIM(Keywords!$B$2:$B$14),A732)))&gt;0),"Neutral",
IF(SUMPRODUCT(--ISNUMBER(SEARCH(TRIM(Keywords!$A$2:$A$16),A732)))&gt;0,"Positive",
IF(SUMPRODUCT(--ISNUMBER(SEARCH(TRIM(Keywords!$A$2:$B$14),A732)))&gt;0,"Negative","Neutral")))</f>
        <v>Neutral</v>
      </c>
    </row>
    <row r="733" spans="1:3" x14ac:dyDescent="0.25">
      <c r="A733" t="s">
        <v>36</v>
      </c>
      <c r="B733">
        <v>5</v>
      </c>
      <c r="C733" t="str">
        <f>IF(AND(SUMPRODUCT(--ISNUMBER(SEARCH(TRIM(Keywords!$A$2:$A$16),A733)))&gt;0,
        SUMPRODUCT(--ISNUMBER(SEARCH(TRIM(Keywords!$B$2:$B$14),A733)))&gt;0),"Neutral",
IF(SUMPRODUCT(--ISNUMBER(SEARCH(TRIM(Keywords!$A$2:$A$16),A733)))&gt;0,"Positive",
IF(SUMPRODUCT(--ISNUMBER(SEARCH(TRIM(Keywords!$A$2:$B$14),A733)))&gt;0,"Negative","Neutral")))</f>
        <v>Neutral</v>
      </c>
    </row>
    <row r="734" spans="1:3" hidden="1" x14ac:dyDescent="0.25">
      <c r="A734" t="s">
        <v>2</v>
      </c>
      <c r="B734">
        <v>5</v>
      </c>
      <c r="C734" t="str">
        <f>IF(AND(SUMPRODUCT(--ISNUMBER(SEARCH(TRIM(Keywords!$A$2:$A$16),A734)))&gt;0,
        SUMPRODUCT(--ISNUMBER(SEARCH(TRIM(Keywords!$B$2:$B$14),A734)))&gt;0),"Neutral",
IF(SUMPRODUCT(--ISNUMBER(SEARCH(TRIM(Keywords!$A$2:$A$16),A734)))&gt;0,"Positive",
IF(SUMPRODUCT(--ISNUMBER(SEARCH(TRIM(Keywords!$A$2:$B$14),A734)))&gt;0,"Negative","Neutral")))</f>
        <v>Positive</v>
      </c>
    </row>
    <row r="735" spans="1:3" x14ac:dyDescent="0.25">
      <c r="A735" t="s">
        <v>434</v>
      </c>
      <c r="B735">
        <v>1</v>
      </c>
      <c r="C735" t="str">
        <f>IF(AND(SUMPRODUCT(--ISNUMBER(SEARCH(TRIM(Keywords!$A$2:$A$16),A735)))&gt;0,
        SUMPRODUCT(--ISNUMBER(SEARCH(TRIM(Keywords!$B$2:$B$14),A735)))&gt;0),"Neutral",
IF(SUMPRODUCT(--ISNUMBER(SEARCH(TRIM(Keywords!$A$2:$A$16),A735)))&gt;0,"Positive",
IF(SUMPRODUCT(--ISNUMBER(SEARCH(TRIM(Keywords!$A$2:$B$14),A735)))&gt;0,"Negative","Neutral")))</f>
        <v>Neutral</v>
      </c>
    </row>
    <row r="736" spans="1:3" x14ac:dyDescent="0.25">
      <c r="A736" t="s">
        <v>36</v>
      </c>
      <c r="B736">
        <v>5</v>
      </c>
      <c r="C736" t="str">
        <f>IF(AND(SUMPRODUCT(--ISNUMBER(SEARCH(TRIM(Keywords!$A$2:$A$16),A736)))&gt;0,
        SUMPRODUCT(--ISNUMBER(SEARCH(TRIM(Keywords!$B$2:$B$14),A736)))&gt;0),"Neutral",
IF(SUMPRODUCT(--ISNUMBER(SEARCH(TRIM(Keywords!$A$2:$A$16),A736)))&gt;0,"Positive",
IF(SUMPRODUCT(--ISNUMBER(SEARCH(TRIM(Keywords!$A$2:$B$14),A736)))&gt;0,"Negative","Neutral")))</f>
        <v>Neutral</v>
      </c>
    </row>
    <row r="737" spans="1:3" x14ac:dyDescent="0.25">
      <c r="A737" t="s">
        <v>435</v>
      </c>
      <c r="B737">
        <v>3</v>
      </c>
      <c r="C737" t="str">
        <f>IF(AND(SUMPRODUCT(--ISNUMBER(SEARCH(TRIM(Keywords!$A$2:$A$16),A737)))&gt;0,
        SUMPRODUCT(--ISNUMBER(SEARCH(TRIM(Keywords!$B$2:$B$14),A737)))&gt;0),"Neutral",
IF(SUMPRODUCT(--ISNUMBER(SEARCH(TRIM(Keywords!$A$2:$A$16),A737)))&gt;0,"Positive",
IF(SUMPRODUCT(--ISNUMBER(SEARCH(TRIM(Keywords!$A$2:$B$14),A737)))&gt;0,"Negative","Neutral")))</f>
        <v>Neutral</v>
      </c>
    </row>
    <row r="738" spans="1:3" x14ac:dyDescent="0.25">
      <c r="A738" t="s">
        <v>436</v>
      </c>
      <c r="B738">
        <v>1</v>
      </c>
      <c r="C738" t="str">
        <f>IF(AND(SUMPRODUCT(--ISNUMBER(SEARCH(TRIM(Keywords!$A$2:$A$16),A738)))&gt;0,
        SUMPRODUCT(--ISNUMBER(SEARCH(TRIM(Keywords!$B$2:$B$14),A738)))&gt;0),"Neutral",
IF(SUMPRODUCT(--ISNUMBER(SEARCH(TRIM(Keywords!$A$2:$A$16),A738)))&gt;0,"Positive",
IF(SUMPRODUCT(--ISNUMBER(SEARCH(TRIM(Keywords!$A$2:$B$14),A738)))&gt;0,"Negative","Neutral")))</f>
        <v>Neutral</v>
      </c>
    </row>
    <row r="739" spans="1:3" hidden="1" x14ac:dyDescent="0.25">
      <c r="A739" t="s">
        <v>2</v>
      </c>
      <c r="B739">
        <v>5</v>
      </c>
      <c r="C739" t="str">
        <f>IF(AND(SUMPRODUCT(--ISNUMBER(SEARCH(TRIM(Keywords!$A$2:$A$16),A739)))&gt;0,
        SUMPRODUCT(--ISNUMBER(SEARCH(TRIM(Keywords!$B$2:$B$14),A739)))&gt;0),"Neutral",
IF(SUMPRODUCT(--ISNUMBER(SEARCH(TRIM(Keywords!$A$2:$A$16),A739)))&gt;0,"Positive",
IF(SUMPRODUCT(--ISNUMBER(SEARCH(TRIM(Keywords!$A$2:$B$14),A739)))&gt;0,"Negative","Neutral")))</f>
        <v>Positive</v>
      </c>
    </row>
    <row r="740" spans="1:3" hidden="1" x14ac:dyDescent="0.25">
      <c r="A740" t="s">
        <v>37</v>
      </c>
      <c r="B740">
        <v>5</v>
      </c>
      <c r="C740" t="str">
        <f>IF(AND(SUMPRODUCT(--ISNUMBER(SEARCH(TRIM(Keywords!$A$2:$A$16),A740)))&gt;0,
        SUMPRODUCT(--ISNUMBER(SEARCH(TRIM(Keywords!$B$2:$B$14),A740)))&gt;0),"Neutral",
IF(SUMPRODUCT(--ISNUMBER(SEARCH(TRIM(Keywords!$A$2:$A$16),A740)))&gt;0,"Positive",
IF(SUMPRODUCT(--ISNUMBER(SEARCH(TRIM(Keywords!$A$2:$B$14),A740)))&gt;0,"Negative","Neutral")))</f>
        <v>Positive</v>
      </c>
    </row>
    <row r="741" spans="1:3" hidden="1" x14ac:dyDescent="0.25">
      <c r="A741" t="s">
        <v>2</v>
      </c>
      <c r="B741">
        <v>5</v>
      </c>
      <c r="C741" t="str">
        <f>IF(AND(SUMPRODUCT(--ISNUMBER(SEARCH(TRIM(Keywords!$A$2:$A$16),A741)))&gt;0,
        SUMPRODUCT(--ISNUMBER(SEARCH(TRIM(Keywords!$B$2:$B$14),A741)))&gt;0),"Neutral",
IF(SUMPRODUCT(--ISNUMBER(SEARCH(TRIM(Keywords!$A$2:$A$16),A741)))&gt;0,"Positive",
IF(SUMPRODUCT(--ISNUMBER(SEARCH(TRIM(Keywords!$A$2:$B$14),A741)))&gt;0,"Negative","Neutral")))</f>
        <v>Positive</v>
      </c>
    </row>
    <row r="742" spans="1:3" hidden="1" x14ac:dyDescent="0.25">
      <c r="A742" t="s">
        <v>437</v>
      </c>
      <c r="B742">
        <v>5</v>
      </c>
      <c r="C742" t="str">
        <f>IF(AND(SUMPRODUCT(--ISNUMBER(SEARCH(TRIM(Keywords!$A$2:$A$16),A742)))&gt;0,
        SUMPRODUCT(--ISNUMBER(SEARCH(TRIM(Keywords!$B$2:$B$14),A742)))&gt;0),"Neutral",
IF(SUMPRODUCT(--ISNUMBER(SEARCH(TRIM(Keywords!$A$2:$A$16),A742)))&gt;0,"Positive",
IF(SUMPRODUCT(--ISNUMBER(SEARCH(TRIM(Keywords!$A$2:$B$14),A742)))&gt;0,"Negative","Neutral")))</f>
        <v>Positive</v>
      </c>
    </row>
    <row r="743" spans="1:3" x14ac:dyDescent="0.25">
      <c r="A743" t="s">
        <v>438</v>
      </c>
      <c r="B743">
        <v>5</v>
      </c>
      <c r="C743" t="str">
        <f>IF(AND(SUMPRODUCT(--ISNUMBER(SEARCH(TRIM(Keywords!$A$2:$A$16),A743)))&gt;0,
        SUMPRODUCT(--ISNUMBER(SEARCH(TRIM(Keywords!$B$2:$B$14),A743)))&gt;0),"Neutral",
IF(SUMPRODUCT(--ISNUMBER(SEARCH(TRIM(Keywords!$A$2:$A$16),A743)))&gt;0,"Positive",
IF(SUMPRODUCT(--ISNUMBER(SEARCH(TRIM(Keywords!$A$2:$B$14),A743)))&gt;0,"Negative","Neutral")))</f>
        <v>Neutral</v>
      </c>
    </row>
    <row r="744" spans="1:3" hidden="1" x14ac:dyDescent="0.25">
      <c r="A744" t="s">
        <v>2</v>
      </c>
      <c r="B744">
        <v>5</v>
      </c>
      <c r="C744" t="str">
        <f>IF(AND(SUMPRODUCT(--ISNUMBER(SEARCH(TRIM(Keywords!$A$2:$A$16),A744)))&gt;0,
        SUMPRODUCT(--ISNUMBER(SEARCH(TRIM(Keywords!$B$2:$B$14),A744)))&gt;0),"Neutral",
IF(SUMPRODUCT(--ISNUMBER(SEARCH(TRIM(Keywords!$A$2:$A$16),A744)))&gt;0,"Positive",
IF(SUMPRODUCT(--ISNUMBER(SEARCH(TRIM(Keywords!$A$2:$B$14),A744)))&gt;0,"Negative","Neutral")))</f>
        <v>Positive</v>
      </c>
    </row>
    <row r="745" spans="1:3" x14ac:dyDescent="0.25">
      <c r="A745" t="s">
        <v>36</v>
      </c>
      <c r="B745">
        <v>3</v>
      </c>
      <c r="C745" t="str">
        <f>IF(AND(SUMPRODUCT(--ISNUMBER(SEARCH(TRIM(Keywords!$A$2:$A$16),A745)))&gt;0,
        SUMPRODUCT(--ISNUMBER(SEARCH(TRIM(Keywords!$B$2:$B$14),A745)))&gt;0),"Neutral",
IF(SUMPRODUCT(--ISNUMBER(SEARCH(TRIM(Keywords!$A$2:$A$16),A745)))&gt;0,"Positive",
IF(SUMPRODUCT(--ISNUMBER(SEARCH(TRIM(Keywords!$A$2:$B$14),A745)))&gt;0,"Negative","Neutral")))</f>
        <v>Neutral</v>
      </c>
    </row>
    <row r="746" spans="1:3" x14ac:dyDescent="0.25">
      <c r="A746" t="s">
        <v>439</v>
      </c>
      <c r="B746">
        <v>3</v>
      </c>
      <c r="C746" t="str">
        <f>IF(AND(SUMPRODUCT(--ISNUMBER(SEARCH(TRIM(Keywords!$A$2:$A$16),A746)))&gt;0,
        SUMPRODUCT(--ISNUMBER(SEARCH(TRIM(Keywords!$B$2:$B$14),A746)))&gt;0),"Neutral",
IF(SUMPRODUCT(--ISNUMBER(SEARCH(TRIM(Keywords!$A$2:$A$16),A746)))&gt;0,"Positive",
IF(SUMPRODUCT(--ISNUMBER(SEARCH(TRIM(Keywords!$A$2:$B$14),A746)))&gt;0,"Negative","Neutral")))</f>
        <v>Neutral</v>
      </c>
    </row>
    <row r="747" spans="1:3" x14ac:dyDescent="0.25">
      <c r="A747" t="s">
        <v>440</v>
      </c>
      <c r="B747">
        <v>5</v>
      </c>
      <c r="C747" t="str">
        <f>IF(AND(SUMPRODUCT(--ISNUMBER(SEARCH(TRIM(Keywords!$A$2:$A$16),A747)))&gt;0,
        SUMPRODUCT(--ISNUMBER(SEARCH(TRIM(Keywords!$B$2:$B$14),A747)))&gt;0),"Neutral",
IF(SUMPRODUCT(--ISNUMBER(SEARCH(TRIM(Keywords!$A$2:$A$16),A747)))&gt;0,"Positive",
IF(SUMPRODUCT(--ISNUMBER(SEARCH(TRIM(Keywords!$A$2:$B$14),A747)))&gt;0,"Negative","Neutral")))</f>
        <v>Neutral</v>
      </c>
    </row>
    <row r="748" spans="1:3" hidden="1" x14ac:dyDescent="0.25">
      <c r="A748" t="s">
        <v>14</v>
      </c>
      <c r="B748">
        <v>4</v>
      </c>
      <c r="C748" t="str">
        <f>IF(AND(SUMPRODUCT(--ISNUMBER(SEARCH(TRIM(Keywords!$A$2:$A$16),A748)))&gt;0,
        SUMPRODUCT(--ISNUMBER(SEARCH(TRIM(Keywords!$B$2:$B$14),A748)))&gt;0),"Neutral",
IF(SUMPRODUCT(--ISNUMBER(SEARCH(TRIM(Keywords!$A$2:$A$16),A748)))&gt;0,"Positive",
IF(SUMPRODUCT(--ISNUMBER(SEARCH(TRIM(Keywords!$A$2:$B$14),A748)))&gt;0,"Negative","Neutral")))</f>
        <v>Positive</v>
      </c>
    </row>
    <row r="749" spans="1:3" hidden="1" x14ac:dyDescent="0.25">
      <c r="A749" t="s">
        <v>441</v>
      </c>
      <c r="B749">
        <v>4</v>
      </c>
      <c r="C749" t="str">
        <f>IF(AND(SUMPRODUCT(--ISNUMBER(SEARCH(TRIM(Keywords!$A$2:$A$16),A749)))&gt;0,
        SUMPRODUCT(--ISNUMBER(SEARCH(TRIM(Keywords!$B$2:$B$14),A749)))&gt;0),"Neutral",
IF(SUMPRODUCT(--ISNUMBER(SEARCH(TRIM(Keywords!$A$2:$A$16),A749)))&gt;0,"Positive",
IF(SUMPRODUCT(--ISNUMBER(SEARCH(TRIM(Keywords!$A$2:$B$14),A749)))&gt;0,"Negative","Neutral")))</f>
        <v>Positive</v>
      </c>
    </row>
    <row r="750" spans="1:3" hidden="1" x14ac:dyDescent="0.25">
      <c r="A750" t="s">
        <v>2</v>
      </c>
      <c r="B750">
        <v>4</v>
      </c>
      <c r="C750" t="str">
        <f>IF(AND(SUMPRODUCT(--ISNUMBER(SEARCH(TRIM(Keywords!$A$2:$A$16),A750)))&gt;0,
        SUMPRODUCT(--ISNUMBER(SEARCH(TRIM(Keywords!$B$2:$B$14),A750)))&gt;0),"Neutral",
IF(SUMPRODUCT(--ISNUMBER(SEARCH(TRIM(Keywords!$A$2:$A$16),A750)))&gt;0,"Positive",
IF(SUMPRODUCT(--ISNUMBER(SEARCH(TRIM(Keywords!$A$2:$B$14),A750)))&gt;0,"Negative","Neutral")))</f>
        <v>Positive</v>
      </c>
    </row>
    <row r="751" spans="1:3" hidden="1" x14ac:dyDescent="0.25">
      <c r="A751" t="s">
        <v>200</v>
      </c>
      <c r="B751">
        <v>5</v>
      </c>
      <c r="C751" t="str">
        <f>IF(AND(SUMPRODUCT(--ISNUMBER(SEARCH(TRIM(Keywords!$A$2:$A$16),A751)))&gt;0,
        SUMPRODUCT(--ISNUMBER(SEARCH(TRIM(Keywords!$B$2:$B$14),A751)))&gt;0),"Neutral",
IF(SUMPRODUCT(--ISNUMBER(SEARCH(TRIM(Keywords!$A$2:$A$16),A751)))&gt;0,"Positive",
IF(SUMPRODUCT(--ISNUMBER(SEARCH(TRIM(Keywords!$A$2:$B$14),A751)))&gt;0,"Negative","Neutral")))</f>
        <v>Positive</v>
      </c>
    </row>
    <row r="752" spans="1:3" x14ac:dyDescent="0.25">
      <c r="A752" t="s">
        <v>442</v>
      </c>
      <c r="B752">
        <v>5</v>
      </c>
      <c r="C752" t="str">
        <f>IF(AND(SUMPRODUCT(--ISNUMBER(SEARCH(TRIM(Keywords!$A$2:$A$16),A752)))&gt;0,
        SUMPRODUCT(--ISNUMBER(SEARCH(TRIM(Keywords!$B$2:$B$14),A752)))&gt;0),"Neutral",
IF(SUMPRODUCT(--ISNUMBER(SEARCH(TRIM(Keywords!$A$2:$A$16),A752)))&gt;0,"Positive",
IF(SUMPRODUCT(--ISNUMBER(SEARCH(TRIM(Keywords!$A$2:$B$14),A752)))&gt;0,"Negative","Neutral")))</f>
        <v>Neutral</v>
      </c>
    </row>
    <row r="753" spans="1:3" x14ac:dyDescent="0.25">
      <c r="A753" t="s">
        <v>443</v>
      </c>
      <c r="B753">
        <v>5</v>
      </c>
      <c r="C753" t="str">
        <f>IF(AND(SUMPRODUCT(--ISNUMBER(SEARCH(TRIM(Keywords!$A$2:$A$16),A753)))&gt;0,
        SUMPRODUCT(--ISNUMBER(SEARCH(TRIM(Keywords!$B$2:$B$14),A753)))&gt;0),"Neutral",
IF(SUMPRODUCT(--ISNUMBER(SEARCH(TRIM(Keywords!$A$2:$A$16),A753)))&gt;0,"Positive",
IF(SUMPRODUCT(--ISNUMBER(SEARCH(TRIM(Keywords!$A$2:$B$14),A753)))&gt;0,"Negative","Neutral")))</f>
        <v>Neutral</v>
      </c>
    </row>
    <row r="754" spans="1:3" hidden="1" x14ac:dyDescent="0.25">
      <c r="A754" t="s">
        <v>2</v>
      </c>
      <c r="B754">
        <v>5</v>
      </c>
      <c r="C754" t="str">
        <f>IF(AND(SUMPRODUCT(--ISNUMBER(SEARCH(TRIM(Keywords!$A$2:$A$16),A754)))&gt;0,
        SUMPRODUCT(--ISNUMBER(SEARCH(TRIM(Keywords!$B$2:$B$14),A754)))&gt;0),"Neutral",
IF(SUMPRODUCT(--ISNUMBER(SEARCH(TRIM(Keywords!$A$2:$A$16),A754)))&gt;0,"Positive",
IF(SUMPRODUCT(--ISNUMBER(SEARCH(TRIM(Keywords!$A$2:$B$14),A754)))&gt;0,"Negative","Neutral")))</f>
        <v>Positive</v>
      </c>
    </row>
    <row r="755" spans="1:3" hidden="1" x14ac:dyDescent="0.25">
      <c r="A755" t="s">
        <v>37</v>
      </c>
      <c r="B755">
        <v>3</v>
      </c>
      <c r="C755" t="str">
        <f>IF(AND(SUMPRODUCT(--ISNUMBER(SEARCH(TRIM(Keywords!$A$2:$A$16),A755)))&gt;0,
        SUMPRODUCT(--ISNUMBER(SEARCH(TRIM(Keywords!$B$2:$B$14),A755)))&gt;0),"Neutral",
IF(SUMPRODUCT(--ISNUMBER(SEARCH(TRIM(Keywords!$A$2:$A$16),A755)))&gt;0,"Positive",
IF(SUMPRODUCT(--ISNUMBER(SEARCH(TRIM(Keywords!$A$2:$B$14),A755)))&gt;0,"Negative","Neutral")))</f>
        <v>Positive</v>
      </c>
    </row>
    <row r="756" spans="1:3" hidden="1" x14ac:dyDescent="0.25">
      <c r="A756" t="s">
        <v>2</v>
      </c>
      <c r="B756">
        <v>5</v>
      </c>
      <c r="C756" t="str">
        <f>IF(AND(SUMPRODUCT(--ISNUMBER(SEARCH(TRIM(Keywords!$A$2:$A$16),A756)))&gt;0,
        SUMPRODUCT(--ISNUMBER(SEARCH(TRIM(Keywords!$B$2:$B$14),A756)))&gt;0),"Neutral",
IF(SUMPRODUCT(--ISNUMBER(SEARCH(TRIM(Keywords!$A$2:$A$16),A756)))&gt;0,"Positive",
IF(SUMPRODUCT(--ISNUMBER(SEARCH(TRIM(Keywords!$A$2:$B$14),A756)))&gt;0,"Negative","Neutral")))</f>
        <v>Positive</v>
      </c>
    </row>
    <row r="757" spans="1:3" x14ac:dyDescent="0.25">
      <c r="A757" t="s">
        <v>36</v>
      </c>
      <c r="B757">
        <v>5</v>
      </c>
      <c r="C757" t="str">
        <f>IF(AND(SUMPRODUCT(--ISNUMBER(SEARCH(TRIM(Keywords!$A$2:$A$16),A757)))&gt;0,
        SUMPRODUCT(--ISNUMBER(SEARCH(TRIM(Keywords!$B$2:$B$14),A757)))&gt;0),"Neutral",
IF(SUMPRODUCT(--ISNUMBER(SEARCH(TRIM(Keywords!$A$2:$A$16),A757)))&gt;0,"Positive",
IF(SUMPRODUCT(--ISNUMBER(SEARCH(TRIM(Keywords!$A$2:$B$14),A757)))&gt;0,"Negative","Neutral")))</f>
        <v>Neutral</v>
      </c>
    </row>
    <row r="758" spans="1:3" x14ac:dyDescent="0.25">
      <c r="A758" t="s">
        <v>444</v>
      </c>
      <c r="B758">
        <v>5</v>
      </c>
      <c r="C758" t="str">
        <f>IF(AND(SUMPRODUCT(--ISNUMBER(SEARCH(TRIM(Keywords!$A$2:$A$16),A758)))&gt;0,
        SUMPRODUCT(--ISNUMBER(SEARCH(TRIM(Keywords!$B$2:$B$14),A758)))&gt;0),"Neutral",
IF(SUMPRODUCT(--ISNUMBER(SEARCH(TRIM(Keywords!$A$2:$A$16),A758)))&gt;0,"Positive",
IF(SUMPRODUCT(--ISNUMBER(SEARCH(TRIM(Keywords!$A$2:$B$14),A758)))&gt;0,"Negative","Neutral")))</f>
        <v>Neutral</v>
      </c>
    </row>
    <row r="759" spans="1:3" hidden="1" x14ac:dyDescent="0.25">
      <c r="A759" t="s">
        <v>2</v>
      </c>
      <c r="B759">
        <v>5</v>
      </c>
      <c r="C759" t="str">
        <f>IF(AND(SUMPRODUCT(--ISNUMBER(SEARCH(TRIM(Keywords!$A$2:$A$16),A759)))&gt;0,
        SUMPRODUCT(--ISNUMBER(SEARCH(TRIM(Keywords!$B$2:$B$14),A759)))&gt;0),"Neutral",
IF(SUMPRODUCT(--ISNUMBER(SEARCH(TRIM(Keywords!$A$2:$A$16),A759)))&gt;0,"Positive",
IF(SUMPRODUCT(--ISNUMBER(SEARCH(TRIM(Keywords!$A$2:$B$14),A759)))&gt;0,"Negative","Neutral")))</f>
        <v>Positive</v>
      </c>
    </row>
    <row r="760" spans="1:3" x14ac:dyDescent="0.25">
      <c r="A760" t="s">
        <v>445</v>
      </c>
      <c r="B760">
        <v>4</v>
      </c>
      <c r="C760" t="str">
        <f>IF(AND(SUMPRODUCT(--ISNUMBER(SEARCH(TRIM(Keywords!$A$2:$A$16),A760)))&gt;0,
        SUMPRODUCT(--ISNUMBER(SEARCH(TRIM(Keywords!$B$2:$B$14),A760)))&gt;0),"Neutral",
IF(SUMPRODUCT(--ISNUMBER(SEARCH(TRIM(Keywords!$A$2:$A$16),A760)))&gt;0,"Positive",
IF(SUMPRODUCT(--ISNUMBER(SEARCH(TRIM(Keywords!$A$2:$B$14),A760)))&gt;0,"Negative","Neutral")))</f>
        <v>Neutral</v>
      </c>
    </row>
    <row r="761" spans="1:3" x14ac:dyDescent="0.25">
      <c r="A761" t="s">
        <v>446</v>
      </c>
      <c r="B761">
        <v>4</v>
      </c>
      <c r="C761" t="str">
        <f>IF(AND(SUMPRODUCT(--ISNUMBER(SEARCH(TRIM(Keywords!$A$2:$A$16),A761)))&gt;0,
        SUMPRODUCT(--ISNUMBER(SEARCH(TRIM(Keywords!$B$2:$B$14),A761)))&gt;0),"Neutral",
IF(SUMPRODUCT(--ISNUMBER(SEARCH(TRIM(Keywords!$A$2:$A$16),A761)))&gt;0,"Positive",
IF(SUMPRODUCT(--ISNUMBER(SEARCH(TRIM(Keywords!$A$2:$B$14),A761)))&gt;0,"Negative","Neutral")))</f>
        <v>Neutral</v>
      </c>
    </row>
    <row r="762" spans="1:3" x14ac:dyDescent="0.25">
      <c r="A762" t="s">
        <v>34</v>
      </c>
      <c r="B762">
        <v>5</v>
      </c>
      <c r="C762" t="str">
        <f>IF(AND(SUMPRODUCT(--ISNUMBER(SEARCH(TRIM(Keywords!$A$2:$A$16),A762)))&gt;0,
        SUMPRODUCT(--ISNUMBER(SEARCH(TRIM(Keywords!$B$2:$B$14),A762)))&gt;0),"Neutral",
IF(SUMPRODUCT(--ISNUMBER(SEARCH(TRIM(Keywords!$A$2:$A$16),A762)))&gt;0,"Positive",
IF(SUMPRODUCT(--ISNUMBER(SEARCH(TRIM(Keywords!$A$2:$B$14),A762)))&gt;0,"Negative","Neutral")))</f>
        <v>Neutral</v>
      </c>
    </row>
    <row r="763" spans="1:3" hidden="1" x14ac:dyDescent="0.25">
      <c r="A763" t="s">
        <v>2</v>
      </c>
      <c r="B763">
        <v>5</v>
      </c>
      <c r="C763" t="str">
        <f>IF(AND(SUMPRODUCT(--ISNUMBER(SEARCH(TRIM(Keywords!$A$2:$A$16),A763)))&gt;0,
        SUMPRODUCT(--ISNUMBER(SEARCH(TRIM(Keywords!$B$2:$B$14),A763)))&gt;0),"Neutral",
IF(SUMPRODUCT(--ISNUMBER(SEARCH(TRIM(Keywords!$A$2:$A$16),A763)))&gt;0,"Positive",
IF(SUMPRODUCT(--ISNUMBER(SEARCH(TRIM(Keywords!$A$2:$B$14),A763)))&gt;0,"Negative","Neutral")))</f>
        <v>Positive</v>
      </c>
    </row>
    <row r="764" spans="1:3" hidden="1" x14ac:dyDescent="0.25">
      <c r="A764" t="s">
        <v>447</v>
      </c>
      <c r="B764">
        <v>5</v>
      </c>
      <c r="C764" t="str">
        <f>IF(AND(SUMPRODUCT(--ISNUMBER(SEARCH(TRIM(Keywords!$A$2:$A$16),A764)))&gt;0,
        SUMPRODUCT(--ISNUMBER(SEARCH(TRIM(Keywords!$B$2:$B$14),A764)))&gt;0),"Neutral",
IF(SUMPRODUCT(--ISNUMBER(SEARCH(TRIM(Keywords!$A$2:$A$16),A764)))&gt;0,"Positive",
IF(SUMPRODUCT(--ISNUMBER(SEARCH(TRIM(Keywords!$A$2:$B$14),A764)))&gt;0,"Negative","Neutral")))</f>
        <v>Positive</v>
      </c>
    </row>
    <row r="765" spans="1:3" hidden="1" x14ac:dyDescent="0.25">
      <c r="A765" t="s">
        <v>2</v>
      </c>
      <c r="B765">
        <v>5</v>
      </c>
      <c r="C765" t="str">
        <f>IF(AND(SUMPRODUCT(--ISNUMBER(SEARCH(TRIM(Keywords!$A$2:$A$16),A765)))&gt;0,
        SUMPRODUCT(--ISNUMBER(SEARCH(TRIM(Keywords!$B$2:$B$14),A765)))&gt;0),"Neutral",
IF(SUMPRODUCT(--ISNUMBER(SEARCH(TRIM(Keywords!$A$2:$A$16),A765)))&gt;0,"Positive",
IF(SUMPRODUCT(--ISNUMBER(SEARCH(TRIM(Keywords!$A$2:$B$14),A765)))&gt;0,"Negative","Neutral")))</f>
        <v>Positive</v>
      </c>
    </row>
    <row r="766" spans="1:3" hidden="1" x14ac:dyDescent="0.25">
      <c r="A766" t="s">
        <v>38</v>
      </c>
      <c r="B766">
        <v>5</v>
      </c>
      <c r="C766" t="str">
        <f>IF(AND(SUMPRODUCT(--ISNUMBER(SEARCH(TRIM(Keywords!$A$2:$A$16),A766)))&gt;0,
        SUMPRODUCT(--ISNUMBER(SEARCH(TRIM(Keywords!$B$2:$B$14),A766)))&gt;0),"Neutral",
IF(SUMPRODUCT(--ISNUMBER(SEARCH(TRIM(Keywords!$A$2:$A$16),A766)))&gt;0,"Positive",
IF(SUMPRODUCT(--ISNUMBER(SEARCH(TRIM(Keywords!$A$2:$B$14),A766)))&gt;0,"Negative","Neutral")))</f>
        <v>Positive</v>
      </c>
    </row>
    <row r="767" spans="1:3" hidden="1" x14ac:dyDescent="0.25">
      <c r="A767" t="s">
        <v>392</v>
      </c>
      <c r="B767">
        <v>5</v>
      </c>
      <c r="C767" t="str">
        <f>IF(AND(SUMPRODUCT(--ISNUMBER(SEARCH(TRIM(Keywords!$A$2:$A$16),A767)))&gt;0,
        SUMPRODUCT(--ISNUMBER(SEARCH(TRIM(Keywords!$B$2:$B$14),A767)))&gt;0),"Neutral",
IF(SUMPRODUCT(--ISNUMBER(SEARCH(TRIM(Keywords!$A$2:$A$16),A767)))&gt;0,"Positive",
IF(SUMPRODUCT(--ISNUMBER(SEARCH(TRIM(Keywords!$A$2:$B$14),A767)))&gt;0,"Negative","Neutral")))</f>
        <v>Positive</v>
      </c>
    </row>
    <row r="768" spans="1:3" x14ac:dyDescent="0.25">
      <c r="A768" t="s">
        <v>448</v>
      </c>
      <c r="B768">
        <v>5</v>
      </c>
      <c r="C768" t="str">
        <f>IF(AND(SUMPRODUCT(--ISNUMBER(SEARCH(TRIM(Keywords!$A$2:$A$16),A768)))&gt;0,
        SUMPRODUCT(--ISNUMBER(SEARCH(TRIM(Keywords!$B$2:$B$14),A768)))&gt;0),"Neutral",
IF(SUMPRODUCT(--ISNUMBER(SEARCH(TRIM(Keywords!$A$2:$A$16),A768)))&gt;0,"Positive",
IF(SUMPRODUCT(--ISNUMBER(SEARCH(TRIM(Keywords!$A$2:$B$14),A768)))&gt;0,"Negative","Neutral")))</f>
        <v>Neutral</v>
      </c>
    </row>
    <row r="769" spans="1:3" x14ac:dyDescent="0.25">
      <c r="A769" t="s">
        <v>64</v>
      </c>
      <c r="B769">
        <v>5</v>
      </c>
      <c r="C769" t="str">
        <f>IF(AND(SUMPRODUCT(--ISNUMBER(SEARCH(TRIM(Keywords!$A$2:$A$16),A769)))&gt;0,
        SUMPRODUCT(--ISNUMBER(SEARCH(TRIM(Keywords!$B$2:$B$14),A769)))&gt;0),"Neutral",
IF(SUMPRODUCT(--ISNUMBER(SEARCH(TRIM(Keywords!$A$2:$A$16),A769)))&gt;0,"Positive",
IF(SUMPRODUCT(--ISNUMBER(SEARCH(TRIM(Keywords!$A$2:$B$14),A769)))&gt;0,"Negative","Neutral")))</f>
        <v>Neutral</v>
      </c>
    </row>
    <row r="770" spans="1:3" hidden="1" x14ac:dyDescent="0.25">
      <c r="A770" t="s">
        <v>10</v>
      </c>
      <c r="B770">
        <v>5</v>
      </c>
      <c r="C770" t="str">
        <f>IF(AND(SUMPRODUCT(--ISNUMBER(SEARCH(TRIM(Keywords!$A$2:$A$16),A770)))&gt;0,
        SUMPRODUCT(--ISNUMBER(SEARCH(TRIM(Keywords!$B$2:$B$14),A770)))&gt;0),"Neutral",
IF(SUMPRODUCT(--ISNUMBER(SEARCH(TRIM(Keywords!$A$2:$A$16),A770)))&gt;0,"Positive",
IF(SUMPRODUCT(--ISNUMBER(SEARCH(TRIM(Keywords!$A$2:$B$14),A770)))&gt;0,"Negative","Neutral")))</f>
        <v>Positive</v>
      </c>
    </row>
    <row r="771" spans="1:3" hidden="1" x14ac:dyDescent="0.25">
      <c r="A771" t="s">
        <v>449</v>
      </c>
      <c r="B771">
        <v>3</v>
      </c>
      <c r="C771" t="str">
        <f>IF(AND(SUMPRODUCT(--ISNUMBER(SEARCH(TRIM(Keywords!$A$2:$A$16),A771)))&gt;0,
        SUMPRODUCT(--ISNUMBER(SEARCH(TRIM(Keywords!$B$2:$B$14),A771)))&gt;0),"Neutral",
IF(SUMPRODUCT(--ISNUMBER(SEARCH(TRIM(Keywords!$A$2:$A$16),A771)))&gt;0,"Positive",
IF(SUMPRODUCT(--ISNUMBER(SEARCH(TRIM(Keywords!$A$2:$B$14),A771)))&gt;0,"Negative","Neutral")))</f>
        <v>Negative</v>
      </c>
    </row>
    <row r="772" spans="1:3" hidden="1" x14ac:dyDescent="0.25">
      <c r="A772" t="s">
        <v>12</v>
      </c>
      <c r="B772">
        <v>5</v>
      </c>
      <c r="C772" t="str">
        <f>IF(AND(SUMPRODUCT(--ISNUMBER(SEARCH(TRIM(Keywords!$A$2:$A$16),A772)))&gt;0,
        SUMPRODUCT(--ISNUMBER(SEARCH(TRIM(Keywords!$B$2:$B$14),A772)))&gt;0),"Neutral",
IF(SUMPRODUCT(--ISNUMBER(SEARCH(TRIM(Keywords!$A$2:$A$16),A772)))&gt;0,"Positive",
IF(SUMPRODUCT(--ISNUMBER(SEARCH(TRIM(Keywords!$A$2:$B$14),A772)))&gt;0,"Negative","Neutral")))</f>
        <v>Positive</v>
      </c>
    </row>
    <row r="773" spans="1:3" hidden="1" x14ac:dyDescent="0.25">
      <c r="A773" t="s">
        <v>2</v>
      </c>
      <c r="B773">
        <v>4</v>
      </c>
      <c r="C773" t="str">
        <f>IF(AND(SUMPRODUCT(--ISNUMBER(SEARCH(TRIM(Keywords!$A$2:$A$16),A773)))&gt;0,
        SUMPRODUCT(--ISNUMBER(SEARCH(TRIM(Keywords!$B$2:$B$14),A773)))&gt;0),"Neutral",
IF(SUMPRODUCT(--ISNUMBER(SEARCH(TRIM(Keywords!$A$2:$A$16),A773)))&gt;0,"Positive",
IF(SUMPRODUCT(--ISNUMBER(SEARCH(TRIM(Keywords!$A$2:$B$14),A773)))&gt;0,"Negative","Neutral")))</f>
        <v>Positive</v>
      </c>
    </row>
    <row r="774" spans="1:3" hidden="1" x14ac:dyDescent="0.25">
      <c r="A774" t="s">
        <v>12</v>
      </c>
      <c r="B774">
        <v>4</v>
      </c>
      <c r="C774" t="str">
        <f>IF(AND(SUMPRODUCT(--ISNUMBER(SEARCH(TRIM(Keywords!$A$2:$A$16),A774)))&gt;0,
        SUMPRODUCT(--ISNUMBER(SEARCH(TRIM(Keywords!$B$2:$B$14),A774)))&gt;0),"Neutral",
IF(SUMPRODUCT(--ISNUMBER(SEARCH(TRIM(Keywords!$A$2:$A$16),A774)))&gt;0,"Positive",
IF(SUMPRODUCT(--ISNUMBER(SEARCH(TRIM(Keywords!$A$2:$B$14),A774)))&gt;0,"Negative","Neutral")))</f>
        <v>Positive</v>
      </c>
    </row>
    <row r="775" spans="1:3" hidden="1" x14ac:dyDescent="0.25">
      <c r="A775" t="s">
        <v>450</v>
      </c>
      <c r="B775">
        <v>1</v>
      </c>
      <c r="C775" t="str">
        <f>IF(AND(SUMPRODUCT(--ISNUMBER(SEARCH(TRIM(Keywords!$A$2:$A$16),A775)))&gt;0,
        SUMPRODUCT(--ISNUMBER(SEARCH(TRIM(Keywords!$B$2:$B$14),A775)))&gt;0),"Neutral",
IF(SUMPRODUCT(--ISNUMBER(SEARCH(TRIM(Keywords!$A$2:$A$16),A775)))&gt;0,"Positive",
IF(SUMPRODUCT(--ISNUMBER(SEARCH(TRIM(Keywords!$A$2:$B$14),A775)))&gt;0,"Negative","Neutral")))</f>
        <v>Negative</v>
      </c>
    </row>
    <row r="776" spans="1:3" hidden="1" x14ac:dyDescent="0.25">
      <c r="A776" t="s">
        <v>451</v>
      </c>
      <c r="B776">
        <v>5</v>
      </c>
      <c r="C776" t="str">
        <f>IF(AND(SUMPRODUCT(--ISNUMBER(SEARCH(TRIM(Keywords!$A$2:$A$16),A776)))&gt;0,
        SUMPRODUCT(--ISNUMBER(SEARCH(TRIM(Keywords!$B$2:$B$14),A776)))&gt;0),"Neutral",
IF(SUMPRODUCT(--ISNUMBER(SEARCH(TRIM(Keywords!$A$2:$A$16),A776)))&gt;0,"Positive",
IF(SUMPRODUCT(--ISNUMBER(SEARCH(TRIM(Keywords!$A$2:$B$14),A776)))&gt;0,"Negative","Neutral")))</f>
        <v>Positive</v>
      </c>
    </row>
    <row r="777" spans="1:3" x14ac:dyDescent="0.25">
      <c r="A777" t="s">
        <v>452</v>
      </c>
      <c r="B777">
        <v>2</v>
      </c>
      <c r="C777" t="str">
        <f>IF(AND(SUMPRODUCT(--ISNUMBER(SEARCH(TRIM(Keywords!$A$2:$A$16),A777)))&gt;0,
        SUMPRODUCT(--ISNUMBER(SEARCH(TRIM(Keywords!$B$2:$B$14),A777)))&gt;0),"Neutral",
IF(SUMPRODUCT(--ISNUMBER(SEARCH(TRIM(Keywords!$A$2:$A$16),A777)))&gt;0,"Positive",
IF(SUMPRODUCT(--ISNUMBER(SEARCH(TRIM(Keywords!$A$2:$B$14),A777)))&gt;0,"Negative","Neutral")))</f>
        <v>Neutral</v>
      </c>
    </row>
    <row r="778" spans="1:3" x14ac:dyDescent="0.25">
      <c r="A778" t="s">
        <v>453</v>
      </c>
      <c r="B778">
        <v>2</v>
      </c>
      <c r="C778" t="str">
        <f>IF(AND(SUMPRODUCT(--ISNUMBER(SEARCH(TRIM(Keywords!$A$2:$A$16),A778)))&gt;0,
        SUMPRODUCT(--ISNUMBER(SEARCH(TRIM(Keywords!$B$2:$B$14),A778)))&gt;0),"Neutral",
IF(SUMPRODUCT(--ISNUMBER(SEARCH(TRIM(Keywords!$A$2:$A$16),A778)))&gt;0,"Positive",
IF(SUMPRODUCT(--ISNUMBER(SEARCH(TRIM(Keywords!$A$2:$B$14),A778)))&gt;0,"Negative","Neutral")))</f>
        <v>Neutral</v>
      </c>
    </row>
    <row r="779" spans="1:3" x14ac:dyDescent="0.25">
      <c r="A779" t="s">
        <v>454</v>
      </c>
      <c r="B779">
        <v>3</v>
      </c>
      <c r="C779" t="str">
        <f>IF(AND(SUMPRODUCT(--ISNUMBER(SEARCH(TRIM(Keywords!$A$2:$A$16),A779)))&gt;0,
        SUMPRODUCT(--ISNUMBER(SEARCH(TRIM(Keywords!$B$2:$B$14),A779)))&gt;0),"Neutral",
IF(SUMPRODUCT(--ISNUMBER(SEARCH(TRIM(Keywords!$A$2:$A$16),A779)))&gt;0,"Positive",
IF(SUMPRODUCT(--ISNUMBER(SEARCH(TRIM(Keywords!$A$2:$B$14),A779)))&gt;0,"Negative","Neutral")))</f>
        <v>Neutral</v>
      </c>
    </row>
    <row r="780" spans="1:3" hidden="1" x14ac:dyDescent="0.25">
      <c r="A780" t="s">
        <v>39</v>
      </c>
      <c r="B780">
        <v>5</v>
      </c>
      <c r="C780" t="str">
        <f>IF(AND(SUMPRODUCT(--ISNUMBER(SEARCH(TRIM(Keywords!$A$2:$A$16),A780)))&gt;0,
        SUMPRODUCT(--ISNUMBER(SEARCH(TRIM(Keywords!$B$2:$B$14),A780)))&gt;0),"Neutral",
IF(SUMPRODUCT(--ISNUMBER(SEARCH(TRIM(Keywords!$A$2:$A$16),A780)))&gt;0,"Positive",
IF(SUMPRODUCT(--ISNUMBER(SEARCH(TRIM(Keywords!$A$2:$B$14),A780)))&gt;0,"Negative","Neutral")))</f>
        <v>Positive</v>
      </c>
    </row>
    <row r="781" spans="1:3" x14ac:dyDescent="0.25">
      <c r="A781" t="s">
        <v>455</v>
      </c>
      <c r="B781">
        <v>3</v>
      </c>
      <c r="C781" t="str">
        <f>IF(AND(SUMPRODUCT(--ISNUMBER(SEARCH(TRIM(Keywords!$A$2:$A$16),A781)))&gt;0,
        SUMPRODUCT(--ISNUMBER(SEARCH(TRIM(Keywords!$B$2:$B$14),A781)))&gt;0),"Neutral",
IF(SUMPRODUCT(--ISNUMBER(SEARCH(TRIM(Keywords!$A$2:$A$16),A781)))&gt;0,"Positive",
IF(SUMPRODUCT(--ISNUMBER(SEARCH(TRIM(Keywords!$A$2:$B$14),A781)))&gt;0,"Negative","Neutral")))</f>
        <v>Neutral</v>
      </c>
    </row>
    <row r="782" spans="1:3" x14ac:dyDescent="0.25">
      <c r="A782" t="s">
        <v>456</v>
      </c>
      <c r="B782">
        <v>3</v>
      </c>
      <c r="C782" t="str">
        <f>IF(AND(SUMPRODUCT(--ISNUMBER(SEARCH(TRIM(Keywords!$A$2:$A$16),A782)))&gt;0,
        SUMPRODUCT(--ISNUMBER(SEARCH(TRIM(Keywords!$B$2:$B$14),A782)))&gt;0),"Neutral",
IF(SUMPRODUCT(--ISNUMBER(SEARCH(TRIM(Keywords!$A$2:$A$16),A782)))&gt;0,"Positive",
IF(SUMPRODUCT(--ISNUMBER(SEARCH(TRIM(Keywords!$A$2:$B$14),A782)))&gt;0,"Negative","Neutral")))</f>
        <v>Neutral</v>
      </c>
    </row>
    <row r="783" spans="1:3" hidden="1" x14ac:dyDescent="0.25">
      <c r="A783" t="s">
        <v>2</v>
      </c>
      <c r="B783">
        <v>5</v>
      </c>
      <c r="C783" t="str">
        <f>IF(AND(SUMPRODUCT(--ISNUMBER(SEARCH(TRIM(Keywords!$A$2:$A$16),A783)))&gt;0,
        SUMPRODUCT(--ISNUMBER(SEARCH(TRIM(Keywords!$B$2:$B$14),A783)))&gt;0),"Neutral",
IF(SUMPRODUCT(--ISNUMBER(SEARCH(TRIM(Keywords!$A$2:$A$16),A783)))&gt;0,"Positive",
IF(SUMPRODUCT(--ISNUMBER(SEARCH(TRIM(Keywords!$A$2:$B$14),A783)))&gt;0,"Negative","Neutral")))</f>
        <v>Positive</v>
      </c>
    </row>
    <row r="784" spans="1:3" x14ac:dyDescent="0.25">
      <c r="A784" t="s">
        <v>457</v>
      </c>
      <c r="B784">
        <v>1</v>
      </c>
      <c r="C784" t="str">
        <f>IF(AND(SUMPRODUCT(--ISNUMBER(SEARCH(TRIM(Keywords!$A$2:$A$16),A784)))&gt;0,
        SUMPRODUCT(--ISNUMBER(SEARCH(TRIM(Keywords!$B$2:$B$14),A784)))&gt;0),"Neutral",
IF(SUMPRODUCT(--ISNUMBER(SEARCH(TRIM(Keywords!$A$2:$A$16),A784)))&gt;0,"Positive",
IF(SUMPRODUCT(--ISNUMBER(SEARCH(TRIM(Keywords!$A$2:$B$14),A784)))&gt;0,"Negative","Neutral")))</f>
        <v>Neutral</v>
      </c>
    </row>
    <row r="785" spans="1:3" x14ac:dyDescent="0.25">
      <c r="A785" t="s">
        <v>458</v>
      </c>
      <c r="B785">
        <v>1</v>
      </c>
      <c r="C785" t="str">
        <f>IF(AND(SUMPRODUCT(--ISNUMBER(SEARCH(TRIM(Keywords!$A$2:$A$16),A785)))&gt;0,
        SUMPRODUCT(--ISNUMBER(SEARCH(TRIM(Keywords!$B$2:$B$14),A785)))&gt;0),"Neutral",
IF(SUMPRODUCT(--ISNUMBER(SEARCH(TRIM(Keywords!$A$2:$A$16),A785)))&gt;0,"Positive",
IF(SUMPRODUCT(--ISNUMBER(SEARCH(TRIM(Keywords!$A$2:$B$14),A785)))&gt;0,"Negative","Neutral")))</f>
        <v>Neutral</v>
      </c>
    </row>
    <row r="786" spans="1:3" hidden="1" x14ac:dyDescent="0.25">
      <c r="A786" t="s">
        <v>2</v>
      </c>
      <c r="B786">
        <v>4</v>
      </c>
      <c r="C786" t="str">
        <f>IF(AND(SUMPRODUCT(--ISNUMBER(SEARCH(TRIM(Keywords!$A$2:$A$16),A786)))&gt;0,
        SUMPRODUCT(--ISNUMBER(SEARCH(TRIM(Keywords!$B$2:$B$14),A786)))&gt;0),"Neutral",
IF(SUMPRODUCT(--ISNUMBER(SEARCH(TRIM(Keywords!$A$2:$A$16),A786)))&gt;0,"Positive",
IF(SUMPRODUCT(--ISNUMBER(SEARCH(TRIM(Keywords!$A$2:$B$14),A786)))&gt;0,"Negative","Neutral")))</f>
        <v>Positive</v>
      </c>
    </row>
    <row r="787" spans="1:3" hidden="1" x14ac:dyDescent="0.25">
      <c r="A787" t="s">
        <v>459</v>
      </c>
      <c r="B787">
        <v>1</v>
      </c>
      <c r="C787" t="str">
        <f>IF(AND(SUMPRODUCT(--ISNUMBER(SEARCH(TRIM(Keywords!$A$2:$A$16),A787)))&gt;0,
        SUMPRODUCT(--ISNUMBER(SEARCH(TRIM(Keywords!$B$2:$B$14),A787)))&gt;0),"Neutral",
IF(SUMPRODUCT(--ISNUMBER(SEARCH(TRIM(Keywords!$A$2:$A$16),A787)))&gt;0,"Positive",
IF(SUMPRODUCT(--ISNUMBER(SEARCH(TRIM(Keywords!$A$2:$B$14),A787)))&gt;0,"Negative","Neutral")))</f>
        <v>Negative</v>
      </c>
    </row>
    <row r="788" spans="1:3" hidden="1" x14ac:dyDescent="0.25">
      <c r="A788" t="s">
        <v>460</v>
      </c>
      <c r="B788">
        <v>4</v>
      </c>
      <c r="C788" t="str">
        <f>IF(AND(SUMPRODUCT(--ISNUMBER(SEARCH(TRIM(Keywords!$A$2:$A$16),A788)))&gt;0,
        SUMPRODUCT(--ISNUMBER(SEARCH(TRIM(Keywords!$B$2:$B$14),A788)))&gt;0),"Neutral",
IF(SUMPRODUCT(--ISNUMBER(SEARCH(TRIM(Keywords!$A$2:$A$16),A788)))&gt;0,"Positive",
IF(SUMPRODUCT(--ISNUMBER(SEARCH(TRIM(Keywords!$A$2:$B$14),A788)))&gt;0,"Negative","Neutral")))</f>
        <v>Positive</v>
      </c>
    </row>
    <row r="789" spans="1:3" hidden="1" x14ac:dyDescent="0.25">
      <c r="A789" t="s">
        <v>2</v>
      </c>
      <c r="B789">
        <v>4</v>
      </c>
      <c r="C789" t="str">
        <f>IF(AND(SUMPRODUCT(--ISNUMBER(SEARCH(TRIM(Keywords!$A$2:$A$16),A789)))&gt;0,
        SUMPRODUCT(--ISNUMBER(SEARCH(TRIM(Keywords!$B$2:$B$14),A789)))&gt;0),"Neutral",
IF(SUMPRODUCT(--ISNUMBER(SEARCH(TRIM(Keywords!$A$2:$A$16),A789)))&gt;0,"Positive",
IF(SUMPRODUCT(--ISNUMBER(SEARCH(TRIM(Keywords!$A$2:$B$14),A789)))&gt;0,"Negative","Neutral")))</f>
        <v>Positive</v>
      </c>
    </row>
    <row r="790" spans="1:3" hidden="1" x14ac:dyDescent="0.25">
      <c r="A790" t="s">
        <v>37</v>
      </c>
      <c r="B790">
        <v>5</v>
      </c>
      <c r="C790" t="str">
        <f>IF(AND(SUMPRODUCT(--ISNUMBER(SEARCH(TRIM(Keywords!$A$2:$A$16),A790)))&gt;0,
        SUMPRODUCT(--ISNUMBER(SEARCH(TRIM(Keywords!$B$2:$B$14),A790)))&gt;0),"Neutral",
IF(SUMPRODUCT(--ISNUMBER(SEARCH(TRIM(Keywords!$A$2:$A$16),A790)))&gt;0,"Positive",
IF(SUMPRODUCT(--ISNUMBER(SEARCH(TRIM(Keywords!$A$2:$B$14),A790)))&gt;0,"Negative","Neutral")))</f>
        <v>Positive</v>
      </c>
    </row>
    <row r="791" spans="1:3" hidden="1" x14ac:dyDescent="0.25">
      <c r="A791" t="s">
        <v>2</v>
      </c>
      <c r="B791">
        <v>5</v>
      </c>
      <c r="C791" t="str">
        <f>IF(AND(SUMPRODUCT(--ISNUMBER(SEARCH(TRIM(Keywords!$A$2:$A$16),A791)))&gt;0,
        SUMPRODUCT(--ISNUMBER(SEARCH(TRIM(Keywords!$B$2:$B$14),A791)))&gt;0),"Neutral",
IF(SUMPRODUCT(--ISNUMBER(SEARCH(TRIM(Keywords!$A$2:$A$16),A791)))&gt;0,"Positive",
IF(SUMPRODUCT(--ISNUMBER(SEARCH(TRIM(Keywords!$A$2:$B$14),A791)))&gt;0,"Negative","Neutral")))</f>
        <v>Positive</v>
      </c>
    </row>
    <row r="792" spans="1:3" hidden="1" x14ac:dyDescent="0.25">
      <c r="A792" t="s">
        <v>461</v>
      </c>
      <c r="B792">
        <v>5</v>
      </c>
      <c r="C792" t="str">
        <f>IF(AND(SUMPRODUCT(--ISNUMBER(SEARCH(TRIM(Keywords!$A$2:$A$16),A792)))&gt;0,
        SUMPRODUCT(--ISNUMBER(SEARCH(TRIM(Keywords!$B$2:$B$14),A792)))&gt;0),"Neutral",
IF(SUMPRODUCT(--ISNUMBER(SEARCH(TRIM(Keywords!$A$2:$A$16),A792)))&gt;0,"Positive",
IF(SUMPRODUCT(--ISNUMBER(SEARCH(TRIM(Keywords!$A$2:$B$14),A792)))&gt;0,"Negative","Neutral")))</f>
        <v>Positive</v>
      </c>
    </row>
    <row r="793" spans="1:3" hidden="1" x14ac:dyDescent="0.25">
      <c r="A793" t="s">
        <v>12</v>
      </c>
      <c r="B793">
        <v>5</v>
      </c>
      <c r="C793" t="str">
        <f>IF(AND(SUMPRODUCT(--ISNUMBER(SEARCH(TRIM(Keywords!$A$2:$A$16),A793)))&gt;0,
        SUMPRODUCT(--ISNUMBER(SEARCH(TRIM(Keywords!$B$2:$B$14),A793)))&gt;0),"Neutral",
IF(SUMPRODUCT(--ISNUMBER(SEARCH(TRIM(Keywords!$A$2:$A$16),A793)))&gt;0,"Positive",
IF(SUMPRODUCT(--ISNUMBER(SEARCH(TRIM(Keywords!$A$2:$B$14),A793)))&gt;0,"Negative","Neutral")))</f>
        <v>Positive</v>
      </c>
    </row>
    <row r="794" spans="1:3" hidden="1" x14ac:dyDescent="0.25">
      <c r="A794" t="s">
        <v>2</v>
      </c>
      <c r="B794">
        <v>5</v>
      </c>
      <c r="C794" t="str">
        <f>IF(AND(SUMPRODUCT(--ISNUMBER(SEARCH(TRIM(Keywords!$A$2:$A$16),A794)))&gt;0,
        SUMPRODUCT(--ISNUMBER(SEARCH(TRIM(Keywords!$B$2:$B$14),A794)))&gt;0),"Neutral",
IF(SUMPRODUCT(--ISNUMBER(SEARCH(TRIM(Keywords!$A$2:$A$16),A794)))&gt;0,"Positive",
IF(SUMPRODUCT(--ISNUMBER(SEARCH(TRIM(Keywords!$A$2:$B$14),A794)))&gt;0,"Negative","Neutral")))</f>
        <v>Positive</v>
      </c>
    </row>
    <row r="795" spans="1:3" x14ac:dyDescent="0.25">
      <c r="A795" t="s">
        <v>462</v>
      </c>
      <c r="B795">
        <v>2</v>
      </c>
      <c r="C795" t="str">
        <f>IF(AND(SUMPRODUCT(--ISNUMBER(SEARCH(TRIM(Keywords!$A$2:$A$16),A795)))&gt;0,
        SUMPRODUCT(--ISNUMBER(SEARCH(TRIM(Keywords!$B$2:$B$14),A795)))&gt;0),"Neutral",
IF(SUMPRODUCT(--ISNUMBER(SEARCH(TRIM(Keywords!$A$2:$A$16),A795)))&gt;0,"Positive",
IF(SUMPRODUCT(--ISNUMBER(SEARCH(TRIM(Keywords!$A$2:$B$14),A795)))&gt;0,"Negative","Neutral")))</f>
        <v>Neutral</v>
      </c>
    </row>
    <row r="796" spans="1:3" hidden="1" x14ac:dyDescent="0.25">
      <c r="A796" t="s">
        <v>463</v>
      </c>
      <c r="B796">
        <v>5</v>
      </c>
      <c r="C796" t="str">
        <f>IF(AND(SUMPRODUCT(--ISNUMBER(SEARCH(TRIM(Keywords!$A$2:$A$16),A796)))&gt;0,
        SUMPRODUCT(--ISNUMBER(SEARCH(TRIM(Keywords!$B$2:$B$14),A796)))&gt;0),"Neutral",
IF(SUMPRODUCT(--ISNUMBER(SEARCH(TRIM(Keywords!$A$2:$A$16),A796)))&gt;0,"Positive",
IF(SUMPRODUCT(--ISNUMBER(SEARCH(TRIM(Keywords!$A$2:$B$14),A796)))&gt;0,"Negative","Neutral")))</f>
        <v>Positive</v>
      </c>
    </row>
    <row r="797" spans="1:3" x14ac:dyDescent="0.25">
      <c r="A797" t="s">
        <v>34</v>
      </c>
      <c r="B797">
        <v>3</v>
      </c>
      <c r="C797" t="str">
        <f>IF(AND(SUMPRODUCT(--ISNUMBER(SEARCH(TRIM(Keywords!$A$2:$A$16),A797)))&gt;0,
        SUMPRODUCT(--ISNUMBER(SEARCH(TRIM(Keywords!$B$2:$B$14),A797)))&gt;0),"Neutral",
IF(SUMPRODUCT(--ISNUMBER(SEARCH(TRIM(Keywords!$A$2:$A$16),A797)))&gt;0,"Positive",
IF(SUMPRODUCT(--ISNUMBER(SEARCH(TRIM(Keywords!$A$2:$B$14),A797)))&gt;0,"Negative","Neutral")))</f>
        <v>Neutral</v>
      </c>
    </row>
    <row r="798" spans="1:3" hidden="1" x14ac:dyDescent="0.25">
      <c r="A798" t="s">
        <v>129</v>
      </c>
      <c r="B798">
        <v>5</v>
      </c>
      <c r="C798" t="str">
        <f>IF(AND(SUMPRODUCT(--ISNUMBER(SEARCH(TRIM(Keywords!$A$2:$A$16),A798)))&gt;0,
        SUMPRODUCT(--ISNUMBER(SEARCH(TRIM(Keywords!$B$2:$B$14),A798)))&gt;0),"Neutral",
IF(SUMPRODUCT(--ISNUMBER(SEARCH(TRIM(Keywords!$A$2:$A$16),A798)))&gt;0,"Positive",
IF(SUMPRODUCT(--ISNUMBER(SEARCH(TRIM(Keywords!$A$2:$B$14),A798)))&gt;0,"Negative","Neutral")))</f>
        <v>Positive</v>
      </c>
    </row>
    <row r="799" spans="1:3" hidden="1" x14ac:dyDescent="0.25">
      <c r="A799" t="s">
        <v>464</v>
      </c>
      <c r="B799">
        <v>5</v>
      </c>
      <c r="C799" t="str">
        <f>IF(AND(SUMPRODUCT(--ISNUMBER(SEARCH(TRIM(Keywords!$A$2:$A$16),A799)))&gt;0,
        SUMPRODUCT(--ISNUMBER(SEARCH(TRIM(Keywords!$B$2:$B$14),A799)))&gt;0),"Neutral",
IF(SUMPRODUCT(--ISNUMBER(SEARCH(TRIM(Keywords!$A$2:$A$16),A799)))&gt;0,"Positive",
IF(SUMPRODUCT(--ISNUMBER(SEARCH(TRIM(Keywords!$A$2:$B$14),A799)))&gt;0,"Negative","Neutral")))</f>
        <v>Positive</v>
      </c>
    </row>
    <row r="800" spans="1:3" x14ac:dyDescent="0.25">
      <c r="A800" t="s">
        <v>465</v>
      </c>
      <c r="B800">
        <v>5</v>
      </c>
      <c r="C800" t="str">
        <f>IF(AND(SUMPRODUCT(--ISNUMBER(SEARCH(TRIM(Keywords!$A$2:$A$16),A800)))&gt;0,
        SUMPRODUCT(--ISNUMBER(SEARCH(TRIM(Keywords!$B$2:$B$14),A800)))&gt;0),"Neutral",
IF(SUMPRODUCT(--ISNUMBER(SEARCH(TRIM(Keywords!$A$2:$A$16),A800)))&gt;0,"Positive",
IF(SUMPRODUCT(--ISNUMBER(SEARCH(TRIM(Keywords!$A$2:$B$14),A800)))&gt;0,"Negative","Neutral")))</f>
        <v>Neutral</v>
      </c>
    </row>
    <row r="801" spans="1:3" x14ac:dyDescent="0.25">
      <c r="A801" t="s">
        <v>466</v>
      </c>
      <c r="B801">
        <v>4</v>
      </c>
      <c r="C801" t="str">
        <f>IF(AND(SUMPRODUCT(--ISNUMBER(SEARCH(TRIM(Keywords!$A$2:$A$16),A801)))&gt;0,
        SUMPRODUCT(--ISNUMBER(SEARCH(TRIM(Keywords!$B$2:$B$14),A801)))&gt;0),"Neutral",
IF(SUMPRODUCT(--ISNUMBER(SEARCH(TRIM(Keywords!$A$2:$A$16),A801)))&gt;0,"Positive",
IF(SUMPRODUCT(--ISNUMBER(SEARCH(TRIM(Keywords!$A$2:$B$14),A801)))&gt;0,"Negative","Neutral")))</f>
        <v>Neutral</v>
      </c>
    </row>
    <row r="802" spans="1:3" hidden="1" x14ac:dyDescent="0.25">
      <c r="A802" t="s">
        <v>392</v>
      </c>
      <c r="B802">
        <v>5</v>
      </c>
      <c r="C802" t="str">
        <f>IF(AND(SUMPRODUCT(--ISNUMBER(SEARCH(TRIM(Keywords!$A$2:$A$16),A802)))&gt;0,
        SUMPRODUCT(--ISNUMBER(SEARCH(TRIM(Keywords!$B$2:$B$14),A802)))&gt;0),"Neutral",
IF(SUMPRODUCT(--ISNUMBER(SEARCH(TRIM(Keywords!$A$2:$A$16),A802)))&gt;0,"Positive",
IF(SUMPRODUCT(--ISNUMBER(SEARCH(TRIM(Keywords!$A$2:$B$14),A802)))&gt;0,"Negative","Neutral")))</f>
        <v>Positive</v>
      </c>
    </row>
    <row r="803" spans="1:3" hidden="1" x14ac:dyDescent="0.25">
      <c r="A803" t="s">
        <v>2</v>
      </c>
      <c r="B803">
        <v>4</v>
      </c>
      <c r="C803" t="str">
        <f>IF(AND(SUMPRODUCT(--ISNUMBER(SEARCH(TRIM(Keywords!$A$2:$A$16),A803)))&gt;0,
        SUMPRODUCT(--ISNUMBER(SEARCH(TRIM(Keywords!$B$2:$B$14),A803)))&gt;0),"Neutral",
IF(SUMPRODUCT(--ISNUMBER(SEARCH(TRIM(Keywords!$A$2:$A$16),A803)))&gt;0,"Positive",
IF(SUMPRODUCT(--ISNUMBER(SEARCH(TRIM(Keywords!$A$2:$B$14),A803)))&gt;0,"Negative","Neutral")))</f>
        <v>Positive</v>
      </c>
    </row>
    <row r="804" spans="1:3" x14ac:dyDescent="0.25">
      <c r="A804" t="s">
        <v>222</v>
      </c>
      <c r="B804">
        <v>5</v>
      </c>
      <c r="C804" t="str">
        <f>IF(AND(SUMPRODUCT(--ISNUMBER(SEARCH(TRIM(Keywords!$A$2:$A$16),A804)))&gt;0,
        SUMPRODUCT(--ISNUMBER(SEARCH(TRIM(Keywords!$B$2:$B$14),A804)))&gt;0),"Neutral",
IF(SUMPRODUCT(--ISNUMBER(SEARCH(TRIM(Keywords!$A$2:$A$16),A804)))&gt;0,"Positive",
IF(SUMPRODUCT(--ISNUMBER(SEARCH(TRIM(Keywords!$A$2:$B$14),A804)))&gt;0,"Negative","Neutral")))</f>
        <v>Neutral</v>
      </c>
    </row>
    <row r="805" spans="1:3" hidden="1" x14ac:dyDescent="0.25">
      <c r="A805" t="s">
        <v>2</v>
      </c>
      <c r="B805">
        <v>4</v>
      </c>
      <c r="C805" t="str">
        <f>IF(AND(SUMPRODUCT(--ISNUMBER(SEARCH(TRIM(Keywords!$A$2:$A$16),A805)))&gt;0,
        SUMPRODUCT(--ISNUMBER(SEARCH(TRIM(Keywords!$B$2:$B$14),A805)))&gt;0),"Neutral",
IF(SUMPRODUCT(--ISNUMBER(SEARCH(TRIM(Keywords!$A$2:$A$16),A805)))&gt;0,"Positive",
IF(SUMPRODUCT(--ISNUMBER(SEARCH(TRIM(Keywords!$A$2:$B$14),A805)))&gt;0,"Negative","Neutral")))</f>
        <v>Positive</v>
      </c>
    </row>
    <row r="806" spans="1:3" hidden="1" x14ac:dyDescent="0.25">
      <c r="A806" t="s">
        <v>39</v>
      </c>
      <c r="B806">
        <v>4</v>
      </c>
      <c r="C806" t="str">
        <f>IF(AND(SUMPRODUCT(--ISNUMBER(SEARCH(TRIM(Keywords!$A$2:$A$16),A806)))&gt;0,
        SUMPRODUCT(--ISNUMBER(SEARCH(TRIM(Keywords!$B$2:$B$14),A806)))&gt;0),"Neutral",
IF(SUMPRODUCT(--ISNUMBER(SEARCH(TRIM(Keywords!$A$2:$A$16),A806)))&gt;0,"Positive",
IF(SUMPRODUCT(--ISNUMBER(SEARCH(TRIM(Keywords!$A$2:$B$14),A806)))&gt;0,"Negative","Neutral")))</f>
        <v>Positive</v>
      </c>
    </row>
    <row r="807" spans="1:3" hidden="1" x14ac:dyDescent="0.25">
      <c r="A807" t="s">
        <v>467</v>
      </c>
      <c r="B807">
        <v>5</v>
      </c>
      <c r="C807" t="str">
        <f>IF(AND(SUMPRODUCT(--ISNUMBER(SEARCH(TRIM(Keywords!$A$2:$A$16),A807)))&gt;0,
        SUMPRODUCT(--ISNUMBER(SEARCH(TRIM(Keywords!$B$2:$B$14),A807)))&gt;0),"Neutral",
IF(SUMPRODUCT(--ISNUMBER(SEARCH(TRIM(Keywords!$A$2:$A$16),A807)))&gt;0,"Positive",
IF(SUMPRODUCT(--ISNUMBER(SEARCH(TRIM(Keywords!$A$2:$B$14),A807)))&gt;0,"Negative","Neutral")))</f>
        <v>Positive</v>
      </c>
    </row>
    <row r="808" spans="1:3" x14ac:dyDescent="0.25">
      <c r="A808" t="s">
        <v>468</v>
      </c>
      <c r="B808">
        <v>3</v>
      </c>
      <c r="C808" t="str">
        <f>IF(AND(SUMPRODUCT(--ISNUMBER(SEARCH(TRIM(Keywords!$A$2:$A$16),A808)))&gt;0,
        SUMPRODUCT(--ISNUMBER(SEARCH(TRIM(Keywords!$B$2:$B$14),A808)))&gt;0),"Neutral",
IF(SUMPRODUCT(--ISNUMBER(SEARCH(TRIM(Keywords!$A$2:$A$16),A808)))&gt;0,"Positive",
IF(SUMPRODUCT(--ISNUMBER(SEARCH(TRIM(Keywords!$A$2:$B$14),A808)))&gt;0,"Negative","Neutral")))</f>
        <v>Neutral</v>
      </c>
    </row>
    <row r="809" spans="1:3" x14ac:dyDescent="0.25">
      <c r="A809" t="s">
        <v>189</v>
      </c>
      <c r="B809">
        <v>5</v>
      </c>
      <c r="C809" t="str">
        <f>IF(AND(SUMPRODUCT(--ISNUMBER(SEARCH(TRIM(Keywords!$A$2:$A$16),A809)))&gt;0,
        SUMPRODUCT(--ISNUMBER(SEARCH(TRIM(Keywords!$B$2:$B$14),A809)))&gt;0),"Neutral",
IF(SUMPRODUCT(--ISNUMBER(SEARCH(TRIM(Keywords!$A$2:$A$16),A809)))&gt;0,"Positive",
IF(SUMPRODUCT(--ISNUMBER(SEARCH(TRIM(Keywords!$A$2:$B$14),A809)))&gt;0,"Negative","Neutral")))</f>
        <v>Neutral</v>
      </c>
    </row>
    <row r="810" spans="1:3" hidden="1" x14ac:dyDescent="0.25">
      <c r="A810" t="s">
        <v>2</v>
      </c>
      <c r="B810">
        <v>5</v>
      </c>
      <c r="C810" t="str">
        <f>IF(AND(SUMPRODUCT(--ISNUMBER(SEARCH(TRIM(Keywords!$A$2:$A$16),A810)))&gt;0,
        SUMPRODUCT(--ISNUMBER(SEARCH(TRIM(Keywords!$B$2:$B$14),A810)))&gt;0),"Neutral",
IF(SUMPRODUCT(--ISNUMBER(SEARCH(TRIM(Keywords!$A$2:$A$16),A810)))&gt;0,"Positive",
IF(SUMPRODUCT(--ISNUMBER(SEARCH(TRIM(Keywords!$A$2:$B$14),A810)))&gt;0,"Negative","Neutral")))</f>
        <v>Positive</v>
      </c>
    </row>
    <row r="811" spans="1:3" x14ac:dyDescent="0.25">
      <c r="A811" t="s">
        <v>36</v>
      </c>
      <c r="B811">
        <v>5</v>
      </c>
      <c r="C811" t="str">
        <f>IF(AND(SUMPRODUCT(--ISNUMBER(SEARCH(TRIM(Keywords!$A$2:$A$16),A811)))&gt;0,
        SUMPRODUCT(--ISNUMBER(SEARCH(TRIM(Keywords!$B$2:$B$14),A811)))&gt;0),"Neutral",
IF(SUMPRODUCT(--ISNUMBER(SEARCH(TRIM(Keywords!$A$2:$A$16),A811)))&gt;0,"Positive",
IF(SUMPRODUCT(--ISNUMBER(SEARCH(TRIM(Keywords!$A$2:$B$14),A811)))&gt;0,"Negative","Neutral")))</f>
        <v>Neutral</v>
      </c>
    </row>
    <row r="812" spans="1:3" x14ac:dyDescent="0.25">
      <c r="A812" t="s">
        <v>469</v>
      </c>
      <c r="B812">
        <v>5</v>
      </c>
      <c r="C812" t="str">
        <f>IF(AND(SUMPRODUCT(--ISNUMBER(SEARCH(TRIM(Keywords!$A$2:$A$16),A812)))&gt;0,
        SUMPRODUCT(--ISNUMBER(SEARCH(TRIM(Keywords!$B$2:$B$14),A812)))&gt;0),"Neutral",
IF(SUMPRODUCT(--ISNUMBER(SEARCH(TRIM(Keywords!$A$2:$A$16),A812)))&gt;0,"Positive",
IF(SUMPRODUCT(--ISNUMBER(SEARCH(TRIM(Keywords!$A$2:$B$14),A812)))&gt;0,"Negative","Neutral")))</f>
        <v>Neutral</v>
      </c>
    </row>
    <row r="813" spans="1:3" x14ac:dyDescent="0.25">
      <c r="A813" t="s">
        <v>36</v>
      </c>
      <c r="B813">
        <v>5</v>
      </c>
      <c r="C813" t="str">
        <f>IF(AND(SUMPRODUCT(--ISNUMBER(SEARCH(TRIM(Keywords!$A$2:$A$16),A813)))&gt;0,
        SUMPRODUCT(--ISNUMBER(SEARCH(TRIM(Keywords!$B$2:$B$14),A813)))&gt;0),"Neutral",
IF(SUMPRODUCT(--ISNUMBER(SEARCH(TRIM(Keywords!$A$2:$A$16),A813)))&gt;0,"Positive",
IF(SUMPRODUCT(--ISNUMBER(SEARCH(TRIM(Keywords!$A$2:$B$14),A813)))&gt;0,"Negative","Neutral")))</f>
        <v>Neutral</v>
      </c>
    </row>
    <row r="814" spans="1:3" hidden="1" x14ac:dyDescent="0.25">
      <c r="A814" t="s">
        <v>37</v>
      </c>
      <c r="B814">
        <v>5</v>
      </c>
      <c r="C814" t="str">
        <f>IF(AND(SUMPRODUCT(--ISNUMBER(SEARCH(TRIM(Keywords!$A$2:$A$16),A814)))&gt;0,
        SUMPRODUCT(--ISNUMBER(SEARCH(TRIM(Keywords!$B$2:$B$14),A814)))&gt;0),"Neutral",
IF(SUMPRODUCT(--ISNUMBER(SEARCH(TRIM(Keywords!$A$2:$A$16),A814)))&gt;0,"Positive",
IF(SUMPRODUCT(--ISNUMBER(SEARCH(TRIM(Keywords!$A$2:$B$14),A814)))&gt;0,"Negative","Neutral")))</f>
        <v>Positive</v>
      </c>
    </row>
    <row r="815" spans="1:3" x14ac:dyDescent="0.25">
      <c r="A815" t="s">
        <v>470</v>
      </c>
      <c r="B815">
        <v>5</v>
      </c>
      <c r="C815" t="str">
        <f>IF(AND(SUMPRODUCT(--ISNUMBER(SEARCH(TRIM(Keywords!$A$2:$A$16),A815)))&gt;0,
        SUMPRODUCT(--ISNUMBER(SEARCH(TRIM(Keywords!$B$2:$B$14),A815)))&gt;0),"Neutral",
IF(SUMPRODUCT(--ISNUMBER(SEARCH(TRIM(Keywords!$A$2:$A$16),A815)))&gt;0,"Positive",
IF(SUMPRODUCT(--ISNUMBER(SEARCH(TRIM(Keywords!$A$2:$B$14),A815)))&gt;0,"Negative","Neutral")))</f>
        <v>Neutral</v>
      </c>
    </row>
    <row r="816" spans="1:3" x14ac:dyDescent="0.25">
      <c r="A816" t="s">
        <v>471</v>
      </c>
      <c r="B816">
        <v>2</v>
      </c>
      <c r="C816" t="str">
        <f>IF(AND(SUMPRODUCT(--ISNUMBER(SEARCH(TRIM(Keywords!$A$2:$A$16),A816)))&gt;0,
        SUMPRODUCT(--ISNUMBER(SEARCH(TRIM(Keywords!$B$2:$B$14),A816)))&gt;0),"Neutral",
IF(SUMPRODUCT(--ISNUMBER(SEARCH(TRIM(Keywords!$A$2:$A$16),A816)))&gt;0,"Positive",
IF(SUMPRODUCT(--ISNUMBER(SEARCH(TRIM(Keywords!$A$2:$B$14),A816)))&gt;0,"Negative","Neutral")))</f>
        <v>Neutral</v>
      </c>
    </row>
    <row r="817" spans="1:3" x14ac:dyDescent="0.25">
      <c r="A817" t="s">
        <v>472</v>
      </c>
      <c r="B817">
        <v>1</v>
      </c>
      <c r="C817" t="str">
        <f>IF(AND(SUMPRODUCT(--ISNUMBER(SEARCH(TRIM(Keywords!$A$2:$A$16),A817)))&gt;0,
        SUMPRODUCT(--ISNUMBER(SEARCH(TRIM(Keywords!$B$2:$B$14),A817)))&gt;0),"Neutral",
IF(SUMPRODUCT(--ISNUMBER(SEARCH(TRIM(Keywords!$A$2:$A$16),A817)))&gt;0,"Positive",
IF(SUMPRODUCT(--ISNUMBER(SEARCH(TRIM(Keywords!$A$2:$B$14),A817)))&gt;0,"Negative","Neutral")))</f>
        <v>Neutral</v>
      </c>
    </row>
    <row r="818" spans="1:3" x14ac:dyDescent="0.25">
      <c r="A818" t="s">
        <v>473</v>
      </c>
      <c r="B818">
        <v>3</v>
      </c>
      <c r="C818" t="str">
        <f>IF(AND(SUMPRODUCT(--ISNUMBER(SEARCH(TRIM(Keywords!$A$2:$A$16),A818)))&gt;0,
        SUMPRODUCT(--ISNUMBER(SEARCH(TRIM(Keywords!$B$2:$B$14),A818)))&gt;0),"Neutral",
IF(SUMPRODUCT(--ISNUMBER(SEARCH(TRIM(Keywords!$A$2:$A$16),A818)))&gt;0,"Positive",
IF(SUMPRODUCT(--ISNUMBER(SEARCH(TRIM(Keywords!$A$2:$B$14),A818)))&gt;0,"Negative","Neutral")))</f>
        <v>Neutral</v>
      </c>
    </row>
    <row r="819" spans="1:3" hidden="1" x14ac:dyDescent="0.25">
      <c r="A819" t="s">
        <v>2</v>
      </c>
      <c r="B819">
        <v>5</v>
      </c>
      <c r="C819" t="str">
        <f>IF(AND(SUMPRODUCT(--ISNUMBER(SEARCH(TRIM(Keywords!$A$2:$A$16),A819)))&gt;0,
        SUMPRODUCT(--ISNUMBER(SEARCH(TRIM(Keywords!$B$2:$B$14),A819)))&gt;0),"Neutral",
IF(SUMPRODUCT(--ISNUMBER(SEARCH(TRIM(Keywords!$A$2:$A$16),A819)))&gt;0,"Positive",
IF(SUMPRODUCT(--ISNUMBER(SEARCH(TRIM(Keywords!$A$2:$B$14),A819)))&gt;0,"Negative","Neutral")))</f>
        <v>Positive</v>
      </c>
    </row>
    <row r="820" spans="1:3" hidden="1" x14ac:dyDescent="0.25">
      <c r="A820" t="s">
        <v>37</v>
      </c>
      <c r="B820">
        <v>5</v>
      </c>
      <c r="C820" t="str">
        <f>IF(AND(SUMPRODUCT(--ISNUMBER(SEARCH(TRIM(Keywords!$A$2:$A$16),A820)))&gt;0,
        SUMPRODUCT(--ISNUMBER(SEARCH(TRIM(Keywords!$B$2:$B$14),A820)))&gt;0),"Neutral",
IF(SUMPRODUCT(--ISNUMBER(SEARCH(TRIM(Keywords!$A$2:$A$16),A820)))&gt;0,"Positive",
IF(SUMPRODUCT(--ISNUMBER(SEARCH(TRIM(Keywords!$A$2:$B$14),A820)))&gt;0,"Negative","Neutral")))</f>
        <v>Positive</v>
      </c>
    </row>
    <row r="821" spans="1:3" hidden="1" x14ac:dyDescent="0.25">
      <c r="A821" t="s">
        <v>2</v>
      </c>
      <c r="B821">
        <v>5</v>
      </c>
      <c r="C821" t="str">
        <f>IF(AND(SUMPRODUCT(--ISNUMBER(SEARCH(TRIM(Keywords!$A$2:$A$16),A821)))&gt;0,
        SUMPRODUCT(--ISNUMBER(SEARCH(TRIM(Keywords!$B$2:$B$14),A821)))&gt;0),"Neutral",
IF(SUMPRODUCT(--ISNUMBER(SEARCH(TRIM(Keywords!$A$2:$A$16),A821)))&gt;0,"Positive",
IF(SUMPRODUCT(--ISNUMBER(SEARCH(TRIM(Keywords!$A$2:$B$14),A821)))&gt;0,"Negative","Neutral")))</f>
        <v>Positive</v>
      </c>
    </row>
    <row r="822" spans="1:3" hidden="1" x14ac:dyDescent="0.25">
      <c r="A822" t="s">
        <v>474</v>
      </c>
      <c r="B822">
        <v>4</v>
      </c>
      <c r="C822" t="str">
        <f>IF(AND(SUMPRODUCT(--ISNUMBER(SEARCH(TRIM(Keywords!$A$2:$A$16),A822)))&gt;0,
        SUMPRODUCT(--ISNUMBER(SEARCH(TRIM(Keywords!$B$2:$B$14),A822)))&gt;0),"Neutral",
IF(SUMPRODUCT(--ISNUMBER(SEARCH(TRIM(Keywords!$A$2:$A$16),A822)))&gt;0,"Positive",
IF(SUMPRODUCT(--ISNUMBER(SEARCH(TRIM(Keywords!$A$2:$B$14),A822)))&gt;0,"Negative","Neutral")))</f>
        <v>Positive</v>
      </c>
    </row>
    <row r="823" spans="1:3" x14ac:dyDescent="0.25">
      <c r="A823" t="s">
        <v>475</v>
      </c>
      <c r="B823">
        <v>5</v>
      </c>
      <c r="C823" t="str">
        <f>IF(AND(SUMPRODUCT(--ISNUMBER(SEARCH(TRIM(Keywords!$A$2:$A$16),A823)))&gt;0,
        SUMPRODUCT(--ISNUMBER(SEARCH(TRIM(Keywords!$B$2:$B$14),A823)))&gt;0),"Neutral",
IF(SUMPRODUCT(--ISNUMBER(SEARCH(TRIM(Keywords!$A$2:$A$16),A823)))&gt;0,"Positive",
IF(SUMPRODUCT(--ISNUMBER(SEARCH(TRIM(Keywords!$A$2:$B$14),A823)))&gt;0,"Negative","Neutral")))</f>
        <v>Neutral</v>
      </c>
    </row>
    <row r="824" spans="1:3" hidden="1" x14ac:dyDescent="0.25">
      <c r="A824" t="s">
        <v>2</v>
      </c>
      <c r="B824">
        <v>4</v>
      </c>
      <c r="C824" t="str">
        <f>IF(AND(SUMPRODUCT(--ISNUMBER(SEARCH(TRIM(Keywords!$A$2:$A$16),A824)))&gt;0,
        SUMPRODUCT(--ISNUMBER(SEARCH(TRIM(Keywords!$B$2:$B$14),A824)))&gt;0),"Neutral",
IF(SUMPRODUCT(--ISNUMBER(SEARCH(TRIM(Keywords!$A$2:$A$16),A824)))&gt;0,"Positive",
IF(SUMPRODUCT(--ISNUMBER(SEARCH(TRIM(Keywords!$A$2:$B$14),A824)))&gt;0,"Negative","Neutral")))</f>
        <v>Positive</v>
      </c>
    </row>
    <row r="825" spans="1:3" hidden="1" x14ac:dyDescent="0.25">
      <c r="A825" t="s">
        <v>2</v>
      </c>
      <c r="B825">
        <v>5</v>
      </c>
      <c r="C825" t="str">
        <f>IF(AND(SUMPRODUCT(--ISNUMBER(SEARCH(TRIM(Keywords!$A$2:$A$16),A825)))&gt;0,
        SUMPRODUCT(--ISNUMBER(SEARCH(TRIM(Keywords!$B$2:$B$14),A825)))&gt;0),"Neutral",
IF(SUMPRODUCT(--ISNUMBER(SEARCH(TRIM(Keywords!$A$2:$A$16),A825)))&gt;0,"Positive",
IF(SUMPRODUCT(--ISNUMBER(SEARCH(TRIM(Keywords!$A$2:$B$14),A825)))&gt;0,"Negative","Neutral")))</f>
        <v>Positive</v>
      </c>
    </row>
    <row r="826" spans="1:3" hidden="1" x14ac:dyDescent="0.25">
      <c r="A826" t="s">
        <v>476</v>
      </c>
      <c r="B826">
        <v>5</v>
      </c>
      <c r="C826" t="str">
        <f>IF(AND(SUMPRODUCT(--ISNUMBER(SEARCH(TRIM(Keywords!$A$2:$A$16),A826)))&gt;0,
        SUMPRODUCT(--ISNUMBER(SEARCH(TRIM(Keywords!$B$2:$B$14),A826)))&gt;0),"Neutral",
IF(SUMPRODUCT(--ISNUMBER(SEARCH(TRIM(Keywords!$A$2:$A$16),A826)))&gt;0,"Positive",
IF(SUMPRODUCT(--ISNUMBER(SEARCH(TRIM(Keywords!$A$2:$B$14),A826)))&gt;0,"Negative","Neutral")))</f>
        <v>Positive</v>
      </c>
    </row>
    <row r="827" spans="1:3" hidden="1" x14ac:dyDescent="0.25">
      <c r="A827" t="s">
        <v>477</v>
      </c>
      <c r="B827">
        <v>5</v>
      </c>
      <c r="C827" t="str">
        <f>IF(AND(SUMPRODUCT(--ISNUMBER(SEARCH(TRIM(Keywords!$A$2:$A$16),A827)))&gt;0,
        SUMPRODUCT(--ISNUMBER(SEARCH(TRIM(Keywords!$B$2:$B$14),A827)))&gt;0),"Neutral",
IF(SUMPRODUCT(--ISNUMBER(SEARCH(TRIM(Keywords!$A$2:$A$16),A827)))&gt;0,"Positive",
IF(SUMPRODUCT(--ISNUMBER(SEARCH(TRIM(Keywords!$A$2:$B$14),A827)))&gt;0,"Negative","Neutral")))</f>
        <v>Positive</v>
      </c>
    </row>
    <row r="828" spans="1:3" hidden="1" x14ac:dyDescent="0.25">
      <c r="A828" t="s">
        <v>478</v>
      </c>
      <c r="B828">
        <v>4</v>
      </c>
      <c r="C828" t="str">
        <f>IF(AND(SUMPRODUCT(--ISNUMBER(SEARCH(TRIM(Keywords!$A$2:$A$16),A828)))&gt;0,
        SUMPRODUCT(--ISNUMBER(SEARCH(TRIM(Keywords!$B$2:$B$14),A828)))&gt;0),"Neutral",
IF(SUMPRODUCT(--ISNUMBER(SEARCH(TRIM(Keywords!$A$2:$A$16),A828)))&gt;0,"Positive",
IF(SUMPRODUCT(--ISNUMBER(SEARCH(TRIM(Keywords!$A$2:$B$14),A828)))&gt;0,"Negative","Neutral")))</f>
        <v>Positive</v>
      </c>
    </row>
    <row r="829" spans="1:3" hidden="1" x14ac:dyDescent="0.25">
      <c r="A829" t="s">
        <v>2</v>
      </c>
      <c r="B829">
        <v>5</v>
      </c>
      <c r="C829" t="str">
        <f>IF(AND(SUMPRODUCT(--ISNUMBER(SEARCH(TRIM(Keywords!$A$2:$A$16),A829)))&gt;0,
        SUMPRODUCT(--ISNUMBER(SEARCH(TRIM(Keywords!$B$2:$B$14),A829)))&gt;0),"Neutral",
IF(SUMPRODUCT(--ISNUMBER(SEARCH(TRIM(Keywords!$A$2:$A$16),A829)))&gt;0,"Positive",
IF(SUMPRODUCT(--ISNUMBER(SEARCH(TRIM(Keywords!$A$2:$B$14),A829)))&gt;0,"Negative","Neutral")))</f>
        <v>Positive</v>
      </c>
    </row>
    <row r="830" spans="1:3" hidden="1" x14ac:dyDescent="0.25">
      <c r="A830" t="s">
        <v>2</v>
      </c>
      <c r="B830">
        <v>5</v>
      </c>
      <c r="C830" t="str">
        <f>IF(AND(SUMPRODUCT(--ISNUMBER(SEARCH(TRIM(Keywords!$A$2:$A$16),A830)))&gt;0,
        SUMPRODUCT(--ISNUMBER(SEARCH(TRIM(Keywords!$B$2:$B$14),A830)))&gt;0),"Neutral",
IF(SUMPRODUCT(--ISNUMBER(SEARCH(TRIM(Keywords!$A$2:$A$16),A830)))&gt;0,"Positive",
IF(SUMPRODUCT(--ISNUMBER(SEARCH(TRIM(Keywords!$A$2:$B$14),A830)))&gt;0,"Negative","Neutral")))</f>
        <v>Positive</v>
      </c>
    </row>
    <row r="831" spans="1:3" hidden="1" x14ac:dyDescent="0.25">
      <c r="A831" t="s">
        <v>479</v>
      </c>
      <c r="B831">
        <v>5</v>
      </c>
      <c r="C831" t="str">
        <f>IF(AND(SUMPRODUCT(--ISNUMBER(SEARCH(TRIM(Keywords!$A$2:$A$16),A831)))&gt;0,
        SUMPRODUCT(--ISNUMBER(SEARCH(TRIM(Keywords!$B$2:$B$14),A831)))&gt;0),"Neutral",
IF(SUMPRODUCT(--ISNUMBER(SEARCH(TRIM(Keywords!$A$2:$A$16),A831)))&gt;0,"Positive",
IF(SUMPRODUCT(--ISNUMBER(SEARCH(TRIM(Keywords!$A$2:$B$14),A831)))&gt;0,"Negative","Neutral")))</f>
        <v>Positive</v>
      </c>
    </row>
    <row r="832" spans="1:3" hidden="1" x14ac:dyDescent="0.25">
      <c r="A832" t="s">
        <v>480</v>
      </c>
      <c r="B832">
        <v>5</v>
      </c>
      <c r="C832" t="str">
        <f>IF(AND(SUMPRODUCT(--ISNUMBER(SEARCH(TRIM(Keywords!$A$2:$A$16),A832)))&gt;0,
        SUMPRODUCT(--ISNUMBER(SEARCH(TRIM(Keywords!$B$2:$B$14),A832)))&gt;0),"Neutral",
IF(SUMPRODUCT(--ISNUMBER(SEARCH(TRIM(Keywords!$A$2:$A$16),A832)))&gt;0,"Positive",
IF(SUMPRODUCT(--ISNUMBER(SEARCH(TRIM(Keywords!$A$2:$B$14),A832)))&gt;0,"Negative","Neutral")))</f>
        <v>Positive</v>
      </c>
    </row>
    <row r="833" spans="1:3" hidden="1" x14ac:dyDescent="0.25">
      <c r="A833" t="s">
        <v>481</v>
      </c>
      <c r="B833">
        <v>5</v>
      </c>
      <c r="C833" t="str">
        <f>IF(AND(SUMPRODUCT(--ISNUMBER(SEARCH(TRIM(Keywords!$A$2:$A$16),A833)))&gt;0,
        SUMPRODUCT(--ISNUMBER(SEARCH(TRIM(Keywords!$B$2:$B$14),A833)))&gt;0),"Neutral",
IF(SUMPRODUCT(--ISNUMBER(SEARCH(TRIM(Keywords!$A$2:$A$16),A833)))&gt;0,"Positive",
IF(SUMPRODUCT(--ISNUMBER(SEARCH(TRIM(Keywords!$A$2:$B$14),A833)))&gt;0,"Negative","Neutral")))</f>
        <v>Positive</v>
      </c>
    </row>
    <row r="834" spans="1:3" hidden="1" x14ac:dyDescent="0.25">
      <c r="A834" t="s">
        <v>482</v>
      </c>
      <c r="B834">
        <v>5</v>
      </c>
      <c r="C834" t="str">
        <f>IF(AND(SUMPRODUCT(--ISNUMBER(SEARCH(TRIM(Keywords!$A$2:$A$16),A834)))&gt;0,
        SUMPRODUCT(--ISNUMBER(SEARCH(TRIM(Keywords!$B$2:$B$14),A834)))&gt;0),"Neutral",
IF(SUMPRODUCT(--ISNUMBER(SEARCH(TRIM(Keywords!$A$2:$A$16),A834)))&gt;0,"Positive",
IF(SUMPRODUCT(--ISNUMBER(SEARCH(TRIM(Keywords!$A$2:$B$14),A834)))&gt;0,"Negative","Neutral")))</f>
        <v>Positive</v>
      </c>
    </row>
    <row r="835" spans="1:3" hidden="1" x14ac:dyDescent="0.25">
      <c r="A835" t="s">
        <v>483</v>
      </c>
      <c r="B835">
        <v>5</v>
      </c>
      <c r="C835" t="str">
        <f>IF(AND(SUMPRODUCT(--ISNUMBER(SEARCH(TRIM(Keywords!$A$2:$A$16),A835)))&gt;0,
        SUMPRODUCT(--ISNUMBER(SEARCH(TRIM(Keywords!$B$2:$B$14),A835)))&gt;0),"Neutral",
IF(SUMPRODUCT(--ISNUMBER(SEARCH(TRIM(Keywords!$A$2:$A$16),A835)))&gt;0,"Positive",
IF(SUMPRODUCT(--ISNUMBER(SEARCH(TRIM(Keywords!$A$2:$B$14),A835)))&gt;0,"Negative","Neutral")))</f>
        <v>Positive</v>
      </c>
    </row>
    <row r="836" spans="1:3" x14ac:dyDescent="0.25">
      <c r="A836" t="s">
        <v>64</v>
      </c>
      <c r="B836">
        <v>5</v>
      </c>
      <c r="C836" t="str">
        <f>IF(AND(SUMPRODUCT(--ISNUMBER(SEARCH(TRIM(Keywords!$A$2:$A$16),A836)))&gt;0,
        SUMPRODUCT(--ISNUMBER(SEARCH(TRIM(Keywords!$B$2:$B$14),A836)))&gt;0),"Neutral",
IF(SUMPRODUCT(--ISNUMBER(SEARCH(TRIM(Keywords!$A$2:$A$16),A836)))&gt;0,"Positive",
IF(SUMPRODUCT(--ISNUMBER(SEARCH(TRIM(Keywords!$A$2:$B$14),A836)))&gt;0,"Negative","Neutral")))</f>
        <v>Neutral</v>
      </c>
    </row>
    <row r="837" spans="1:3" x14ac:dyDescent="0.25">
      <c r="A837" t="s">
        <v>36</v>
      </c>
      <c r="B837">
        <v>5</v>
      </c>
      <c r="C837" t="str">
        <f>IF(AND(SUMPRODUCT(--ISNUMBER(SEARCH(TRIM(Keywords!$A$2:$A$16),A837)))&gt;0,
        SUMPRODUCT(--ISNUMBER(SEARCH(TRIM(Keywords!$B$2:$B$14),A837)))&gt;0),"Neutral",
IF(SUMPRODUCT(--ISNUMBER(SEARCH(TRIM(Keywords!$A$2:$A$16),A837)))&gt;0,"Positive",
IF(SUMPRODUCT(--ISNUMBER(SEARCH(TRIM(Keywords!$A$2:$B$14),A837)))&gt;0,"Negative","Neutral")))</f>
        <v>Neutral</v>
      </c>
    </row>
    <row r="838" spans="1:3" hidden="1" x14ac:dyDescent="0.25">
      <c r="A838" t="s">
        <v>3</v>
      </c>
      <c r="B838">
        <v>1</v>
      </c>
      <c r="C838" t="str">
        <f>IF(AND(SUMPRODUCT(--ISNUMBER(SEARCH(TRIM(Keywords!$A$2:$A$16),A838)))&gt;0,
        SUMPRODUCT(--ISNUMBER(SEARCH(TRIM(Keywords!$B$2:$B$14),A838)))&gt;0),"Neutral",
IF(SUMPRODUCT(--ISNUMBER(SEARCH(TRIM(Keywords!$A$2:$A$16),A838)))&gt;0,"Positive",
IF(SUMPRODUCT(--ISNUMBER(SEARCH(TRIM(Keywords!$A$2:$B$14),A838)))&gt;0,"Negative","Neutral")))</f>
        <v>Negative</v>
      </c>
    </row>
    <row r="839" spans="1:3" x14ac:dyDescent="0.25">
      <c r="A839" t="s">
        <v>484</v>
      </c>
      <c r="B839">
        <v>5</v>
      </c>
      <c r="C839" t="str">
        <f>IF(AND(SUMPRODUCT(--ISNUMBER(SEARCH(TRIM(Keywords!$A$2:$A$16),A839)))&gt;0,
        SUMPRODUCT(--ISNUMBER(SEARCH(TRIM(Keywords!$B$2:$B$14),A839)))&gt;0),"Neutral",
IF(SUMPRODUCT(--ISNUMBER(SEARCH(TRIM(Keywords!$A$2:$A$16),A839)))&gt;0,"Positive",
IF(SUMPRODUCT(--ISNUMBER(SEARCH(TRIM(Keywords!$A$2:$B$14),A839)))&gt;0,"Negative","Neutral")))</f>
        <v>Neutral</v>
      </c>
    </row>
    <row r="840" spans="1:3" hidden="1" x14ac:dyDescent="0.25">
      <c r="A840" t="s">
        <v>37</v>
      </c>
      <c r="B840">
        <v>4</v>
      </c>
      <c r="C840" t="str">
        <f>IF(AND(SUMPRODUCT(--ISNUMBER(SEARCH(TRIM(Keywords!$A$2:$A$16),A840)))&gt;0,
        SUMPRODUCT(--ISNUMBER(SEARCH(TRIM(Keywords!$B$2:$B$14),A840)))&gt;0),"Neutral",
IF(SUMPRODUCT(--ISNUMBER(SEARCH(TRIM(Keywords!$A$2:$A$16),A840)))&gt;0,"Positive",
IF(SUMPRODUCT(--ISNUMBER(SEARCH(TRIM(Keywords!$A$2:$B$14),A840)))&gt;0,"Negative","Neutral")))</f>
        <v>Positive</v>
      </c>
    </row>
    <row r="841" spans="1:3" hidden="1" x14ac:dyDescent="0.25">
      <c r="A841" t="s">
        <v>10</v>
      </c>
      <c r="B841">
        <v>4</v>
      </c>
      <c r="C841" t="str">
        <f>IF(AND(SUMPRODUCT(--ISNUMBER(SEARCH(TRIM(Keywords!$A$2:$A$16),A841)))&gt;0,
        SUMPRODUCT(--ISNUMBER(SEARCH(TRIM(Keywords!$B$2:$B$14),A841)))&gt;0),"Neutral",
IF(SUMPRODUCT(--ISNUMBER(SEARCH(TRIM(Keywords!$A$2:$A$16),A841)))&gt;0,"Positive",
IF(SUMPRODUCT(--ISNUMBER(SEARCH(TRIM(Keywords!$A$2:$B$14),A841)))&gt;0,"Negative","Neutral")))</f>
        <v>Positive</v>
      </c>
    </row>
    <row r="842" spans="1:3" hidden="1" x14ac:dyDescent="0.25">
      <c r="A842" t="s">
        <v>12</v>
      </c>
      <c r="B842">
        <v>5</v>
      </c>
      <c r="C842" t="str">
        <f>IF(AND(SUMPRODUCT(--ISNUMBER(SEARCH(TRIM(Keywords!$A$2:$A$16),A842)))&gt;0,
        SUMPRODUCT(--ISNUMBER(SEARCH(TRIM(Keywords!$B$2:$B$14),A842)))&gt;0),"Neutral",
IF(SUMPRODUCT(--ISNUMBER(SEARCH(TRIM(Keywords!$A$2:$A$16),A842)))&gt;0,"Positive",
IF(SUMPRODUCT(--ISNUMBER(SEARCH(TRIM(Keywords!$A$2:$B$14),A842)))&gt;0,"Negative","Neutral")))</f>
        <v>Positive</v>
      </c>
    </row>
    <row r="843" spans="1:3" hidden="1" x14ac:dyDescent="0.25">
      <c r="A843" t="s">
        <v>2</v>
      </c>
      <c r="B843">
        <v>5</v>
      </c>
      <c r="C843" t="str">
        <f>IF(AND(SUMPRODUCT(--ISNUMBER(SEARCH(TRIM(Keywords!$A$2:$A$16),A843)))&gt;0,
        SUMPRODUCT(--ISNUMBER(SEARCH(TRIM(Keywords!$B$2:$B$14),A843)))&gt;0),"Neutral",
IF(SUMPRODUCT(--ISNUMBER(SEARCH(TRIM(Keywords!$A$2:$A$16),A843)))&gt;0,"Positive",
IF(SUMPRODUCT(--ISNUMBER(SEARCH(TRIM(Keywords!$A$2:$B$14),A843)))&gt;0,"Negative","Neutral")))</f>
        <v>Positive</v>
      </c>
    </row>
    <row r="844" spans="1:3" hidden="1" x14ac:dyDescent="0.25">
      <c r="A844" t="s">
        <v>2</v>
      </c>
      <c r="B844">
        <v>5</v>
      </c>
      <c r="C844" t="str">
        <f>IF(AND(SUMPRODUCT(--ISNUMBER(SEARCH(TRIM(Keywords!$A$2:$A$16),A844)))&gt;0,
        SUMPRODUCT(--ISNUMBER(SEARCH(TRIM(Keywords!$B$2:$B$14),A844)))&gt;0),"Neutral",
IF(SUMPRODUCT(--ISNUMBER(SEARCH(TRIM(Keywords!$A$2:$A$16),A844)))&gt;0,"Positive",
IF(SUMPRODUCT(--ISNUMBER(SEARCH(TRIM(Keywords!$A$2:$B$14),A844)))&gt;0,"Negative","Neutral")))</f>
        <v>Positive</v>
      </c>
    </row>
    <row r="845" spans="1:3" hidden="1" x14ac:dyDescent="0.25">
      <c r="A845" t="s">
        <v>2</v>
      </c>
      <c r="B845">
        <v>5</v>
      </c>
      <c r="C845" t="str">
        <f>IF(AND(SUMPRODUCT(--ISNUMBER(SEARCH(TRIM(Keywords!$A$2:$A$16),A845)))&gt;0,
        SUMPRODUCT(--ISNUMBER(SEARCH(TRIM(Keywords!$B$2:$B$14),A845)))&gt;0),"Neutral",
IF(SUMPRODUCT(--ISNUMBER(SEARCH(TRIM(Keywords!$A$2:$A$16),A845)))&gt;0,"Positive",
IF(SUMPRODUCT(--ISNUMBER(SEARCH(TRIM(Keywords!$A$2:$B$14),A845)))&gt;0,"Negative","Neutral")))</f>
        <v>Positive</v>
      </c>
    </row>
    <row r="846" spans="1:3" x14ac:dyDescent="0.25">
      <c r="A846" t="s">
        <v>485</v>
      </c>
      <c r="B846">
        <v>4</v>
      </c>
      <c r="C846" t="str">
        <f>IF(AND(SUMPRODUCT(--ISNUMBER(SEARCH(TRIM(Keywords!$A$2:$A$16),A846)))&gt;0,
        SUMPRODUCT(--ISNUMBER(SEARCH(TRIM(Keywords!$B$2:$B$14),A846)))&gt;0),"Neutral",
IF(SUMPRODUCT(--ISNUMBER(SEARCH(TRIM(Keywords!$A$2:$A$16),A846)))&gt;0,"Positive",
IF(SUMPRODUCT(--ISNUMBER(SEARCH(TRIM(Keywords!$A$2:$B$14),A846)))&gt;0,"Negative","Neutral")))</f>
        <v>Neutral</v>
      </c>
    </row>
    <row r="847" spans="1:3" x14ac:dyDescent="0.25">
      <c r="A847" t="s">
        <v>36</v>
      </c>
      <c r="B847">
        <v>5</v>
      </c>
      <c r="C847" t="str">
        <f>IF(AND(SUMPRODUCT(--ISNUMBER(SEARCH(TRIM(Keywords!$A$2:$A$16),A847)))&gt;0,
        SUMPRODUCT(--ISNUMBER(SEARCH(TRIM(Keywords!$B$2:$B$14),A847)))&gt;0),"Neutral",
IF(SUMPRODUCT(--ISNUMBER(SEARCH(TRIM(Keywords!$A$2:$A$16),A847)))&gt;0,"Positive",
IF(SUMPRODUCT(--ISNUMBER(SEARCH(TRIM(Keywords!$A$2:$B$14),A847)))&gt;0,"Negative","Neutral")))</f>
        <v>Neutral</v>
      </c>
    </row>
    <row r="848" spans="1:3" hidden="1" x14ac:dyDescent="0.25">
      <c r="A848" t="s">
        <v>486</v>
      </c>
      <c r="B848">
        <v>5</v>
      </c>
      <c r="C848" t="str">
        <f>IF(AND(SUMPRODUCT(--ISNUMBER(SEARCH(TRIM(Keywords!$A$2:$A$16),A848)))&gt;0,
        SUMPRODUCT(--ISNUMBER(SEARCH(TRIM(Keywords!$B$2:$B$14),A848)))&gt;0),"Neutral",
IF(SUMPRODUCT(--ISNUMBER(SEARCH(TRIM(Keywords!$A$2:$A$16),A848)))&gt;0,"Positive",
IF(SUMPRODUCT(--ISNUMBER(SEARCH(TRIM(Keywords!$A$2:$B$14),A848)))&gt;0,"Negative","Neutral")))</f>
        <v>Positive</v>
      </c>
    </row>
    <row r="849" spans="1:3" hidden="1" x14ac:dyDescent="0.25">
      <c r="A849" t="s">
        <v>39</v>
      </c>
      <c r="B849">
        <v>5</v>
      </c>
      <c r="C849" t="str">
        <f>IF(AND(SUMPRODUCT(--ISNUMBER(SEARCH(TRIM(Keywords!$A$2:$A$16),A849)))&gt;0,
        SUMPRODUCT(--ISNUMBER(SEARCH(TRIM(Keywords!$B$2:$B$14),A849)))&gt;0),"Neutral",
IF(SUMPRODUCT(--ISNUMBER(SEARCH(TRIM(Keywords!$A$2:$A$16),A849)))&gt;0,"Positive",
IF(SUMPRODUCT(--ISNUMBER(SEARCH(TRIM(Keywords!$A$2:$B$14),A849)))&gt;0,"Negative","Neutral")))</f>
        <v>Positive</v>
      </c>
    </row>
    <row r="850" spans="1:3" hidden="1" x14ac:dyDescent="0.25">
      <c r="A850" t="s">
        <v>2</v>
      </c>
      <c r="B850">
        <v>5</v>
      </c>
      <c r="C850" t="str">
        <f>IF(AND(SUMPRODUCT(--ISNUMBER(SEARCH(TRIM(Keywords!$A$2:$A$16),A850)))&gt;0,
        SUMPRODUCT(--ISNUMBER(SEARCH(TRIM(Keywords!$B$2:$B$14),A850)))&gt;0),"Neutral",
IF(SUMPRODUCT(--ISNUMBER(SEARCH(TRIM(Keywords!$A$2:$A$16),A850)))&gt;0,"Positive",
IF(SUMPRODUCT(--ISNUMBER(SEARCH(TRIM(Keywords!$A$2:$B$14),A850)))&gt;0,"Negative","Neutral")))</f>
        <v>Positive</v>
      </c>
    </row>
    <row r="851" spans="1:3" hidden="1" x14ac:dyDescent="0.25">
      <c r="A851" t="s">
        <v>394</v>
      </c>
      <c r="B851">
        <v>4</v>
      </c>
      <c r="C851" t="str">
        <f>IF(AND(SUMPRODUCT(--ISNUMBER(SEARCH(TRIM(Keywords!$A$2:$A$16),A851)))&gt;0,
        SUMPRODUCT(--ISNUMBER(SEARCH(TRIM(Keywords!$B$2:$B$14),A851)))&gt;0),"Neutral",
IF(SUMPRODUCT(--ISNUMBER(SEARCH(TRIM(Keywords!$A$2:$A$16),A851)))&gt;0,"Positive",
IF(SUMPRODUCT(--ISNUMBER(SEARCH(TRIM(Keywords!$A$2:$B$14),A851)))&gt;0,"Negative","Neutral")))</f>
        <v>Positive</v>
      </c>
    </row>
    <row r="852" spans="1:3" x14ac:dyDescent="0.25">
      <c r="A852" t="s">
        <v>487</v>
      </c>
      <c r="B852">
        <v>1</v>
      </c>
      <c r="C852" t="str">
        <f>IF(AND(SUMPRODUCT(--ISNUMBER(SEARCH(TRIM(Keywords!$A$2:$A$16),A852)))&gt;0,
        SUMPRODUCT(--ISNUMBER(SEARCH(TRIM(Keywords!$B$2:$B$14),A852)))&gt;0),"Neutral",
IF(SUMPRODUCT(--ISNUMBER(SEARCH(TRIM(Keywords!$A$2:$A$16),A852)))&gt;0,"Positive",
IF(SUMPRODUCT(--ISNUMBER(SEARCH(TRIM(Keywords!$A$2:$B$14),A852)))&gt;0,"Negative","Neutral")))</f>
        <v>Neutral</v>
      </c>
    </row>
    <row r="853" spans="1:3" x14ac:dyDescent="0.25">
      <c r="A853" t="s">
        <v>488</v>
      </c>
      <c r="B853">
        <v>5</v>
      </c>
      <c r="C853" t="str">
        <f>IF(AND(SUMPRODUCT(--ISNUMBER(SEARCH(TRIM(Keywords!$A$2:$A$16),A853)))&gt;0,
        SUMPRODUCT(--ISNUMBER(SEARCH(TRIM(Keywords!$B$2:$B$14),A853)))&gt;0),"Neutral",
IF(SUMPRODUCT(--ISNUMBER(SEARCH(TRIM(Keywords!$A$2:$A$16),A853)))&gt;0,"Positive",
IF(SUMPRODUCT(--ISNUMBER(SEARCH(TRIM(Keywords!$A$2:$B$14),A853)))&gt;0,"Negative","Neutral")))</f>
        <v>Neutral</v>
      </c>
    </row>
    <row r="854" spans="1:3" x14ac:dyDescent="0.25">
      <c r="A854" t="s">
        <v>34</v>
      </c>
      <c r="B854">
        <v>1</v>
      </c>
      <c r="C854" t="str">
        <f>IF(AND(SUMPRODUCT(--ISNUMBER(SEARCH(TRIM(Keywords!$A$2:$A$16),A854)))&gt;0,
        SUMPRODUCT(--ISNUMBER(SEARCH(TRIM(Keywords!$B$2:$B$14),A854)))&gt;0),"Neutral",
IF(SUMPRODUCT(--ISNUMBER(SEARCH(TRIM(Keywords!$A$2:$A$16),A854)))&gt;0,"Positive",
IF(SUMPRODUCT(--ISNUMBER(SEARCH(TRIM(Keywords!$A$2:$B$14),A854)))&gt;0,"Negative","Neutral")))</f>
        <v>Neutral</v>
      </c>
    </row>
    <row r="855" spans="1:3" hidden="1" x14ac:dyDescent="0.25">
      <c r="A855" t="s">
        <v>489</v>
      </c>
      <c r="B855">
        <v>5</v>
      </c>
      <c r="C855" t="str">
        <f>IF(AND(SUMPRODUCT(--ISNUMBER(SEARCH(TRIM(Keywords!$A$2:$A$16),A855)))&gt;0,
        SUMPRODUCT(--ISNUMBER(SEARCH(TRIM(Keywords!$B$2:$B$14),A855)))&gt;0),"Neutral",
IF(SUMPRODUCT(--ISNUMBER(SEARCH(TRIM(Keywords!$A$2:$A$16),A855)))&gt;0,"Positive",
IF(SUMPRODUCT(--ISNUMBER(SEARCH(TRIM(Keywords!$A$2:$B$14),A855)))&gt;0,"Negative","Neutral")))</f>
        <v>Positive</v>
      </c>
    </row>
    <row r="856" spans="1:3" hidden="1" x14ac:dyDescent="0.25">
      <c r="A856" t="s">
        <v>12</v>
      </c>
      <c r="B856">
        <v>5</v>
      </c>
      <c r="C856" t="str">
        <f>IF(AND(SUMPRODUCT(--ISNUMBER(SEARCH(TRIM(Keywords!$A$2:$A$16),A856)))&gt;0,
        SUMPRODUCT(--ISNUMBER(SEARCH(TRIM(Keywords!$B$2:$B$14),A856)))&gt;0),"Neutral",
IF(SUMPRODUCT(--ISNUMBER(SEARCH(TRIM(Keywords!$A$2:$A$16),A856)))&gt;0,"Positive",
IF(SUMPRODUCT(--ISNUMBER(SEARCH(TRIM(Keywords!$A$2:$B$14),A856)))&gt;0,"Negative","Neutral")))</f>
        <v>Positive</v>
      </c>
    </row>
    <row r="857" spans="1:3" hidden="1" x14ac:dyDescent="0.25">
      <c r="A857" t="s">
        <v>490</v>
      </c>
      <c r="B857">
        <v>1</v>
      </c>
      <c r="C857" t="str">
        <f>IF(AND(SUMPRODUCT(--ISNUMBER(SEARCH(TRIM(Keywords!$A$2:$A$16),A857)))&gt;0,
        SUMPRODUCT(--ISNUMBER(SEARCH(TRIM(Keywords!$B$2:$B$14),A857)))&gt;0),"Neutral",
IF(SUMPRODUCT(--ISNUMBER(SEARCH(TRIM(Keywords!$A$2:$A$16),A857)))&gt;0,"Positive",
IF(SUMPRODUCT(--ISNUMBER(SEARCH(TRIM(Keywords!$A$2:$B$14),A857)))&gt;0,"Negative","Neutral")))</f>
        <v>Negative</v>
      </c>
    </row>
    <row r="858" spans="1:3" hidden="1" x14ac:dyDescent="0.25">
      <c r="A858" t="s">
        <v>491</v>
      </c>
      <c r="B858">
        <v>5</v>
      </c>
      <c r="C858" t="str">
        <f>IF(AND(SUMPRODUCT(--ISNUMBER(SEARCH(TRIM(Keywords!$A$2:$A$16),A858)))&gt;0,
        SUMPRODUCT(--ISNUMBER(SEARCH(TRIM(Keywords!$B$2:$B$14),A858)))&gt;0),"Neutral",
IF(SUMPRODUCT(--ISNUMBER(SEARCH(TRIM(Keywords!$A$2:$A$16),A858)))&gt;0,"Positive",
IF(SUMPRODUCT(--ISNUMBER(SEARCH(TRIM(Keywords!$A$2:$B$14),A858)))&gt;0,"Negative","Neutral")))</f>
        <v>Positive</v>
      </c>
    </row>
    <row r="859" spans="1:3" x14ac:dyDescent="0.25">
      <c r="A859" t="s">
        <v>492</v>
      </c>
      <c r="B859">
        <v>5</v>
      </c>
      <c r="C859" t="str">
        <f>IF(AND(SUMPRODUCT(--ISNUMBER(SEARCH(TRIM(Keywords!$A$2:$A$16),A859)))&gt;0,
        SUMPRODUCT(--ISNUMBER(SEARCH(TRIM(Keywords!$B$2:$B$14),A859)))&gt;0),"Neutral",
IF(SUMPRODUCT(--ISNUMBER(SEARCH(TRIM(Keywords!$A$2:$A$16),A859)))&gt;0,"Positive",
IF(SUMPRODUCT(--ISNUMBER(SEARCH(TRIM(Keywords!$A$2:$B$14),A859)))&gt;0,"Negative","Neutral")))</f>
        <v>Neutral</v>
      </c>
    </row>
    <row r="860" spans="1:3" hidden="1" x14ac:dyDescent="0.25">
      <c r="A860" t="s">
        <v>283</v>
      </c>
      <c r="B860">
        <v>5</v>
      </c>
      <c r="C860" t="str">
        <f>IF(AND(SUMPRODUCT(--ISNUMBER(SEARCH(TRIM(Keywords!$A$2:$A$16),A860)))&gt;0,
        SUMPRODUCT(--ISNUMBER(SEARCH(TRIM(Keywords!$B$2:$B$14),A860)))&gt;0),"Neutral",
IF(SUMPRODUCT(--ISNUMBER(SEARCH(TRIM(Keywords!$A$2:$A$16),A860)))&gt;0,"Positive",
IF(SUMPRODUCT(--ISNUMBER(SEARCH(TRIM(Keywords!$A$2:$B$14),A860)))&gt;0,"Negative","Neutral")))</f>
        <v>Positive</v>
      </c>
    </row>
    <row r="861" spans="1:3" hidden="1" x14ac:dyDescent="0.25">
      <c r="A861" t="s">
        <v>2</v>
      </c>
      <c r="B861">
        <v>5</v>
      </c>
      <c r="C861" t="str">
        <f>IF(AND(SUMPRODUCT(--ISNUMBER(SEARCH(TRIM(Keywords!$A$2:$A$16),A861)))&gt;0,
        SUMPRODUCT(--ISNUMBER(SEARCH(TRIM(Keywords!$B$2:$B$14),A861)))&gt;0),"Neutral",
IF(SUMPRODUCT(--ISNUMBER(SEARCH(TRIM(Keywords!$A$2:$A$16),A861)))&gt;0,"Positive",
IF(SUMPRODUCT(--ISNUMBER(SEARCH(TRIM(Keywords!$A$2:$B$14),A861)))&gt;0,"Negative","Neutral")))</f>
        <v>Positive</v>
      </c>
    </row>
    <row r="862" spans="1:3" x14ac:dyDescent="0.25">
      <c r="A862" t="s">
        <v>493</v>
      </c>
      <c r="B862">
        <v>5</v>
      </c>
      <c r="C862" t="str">
        <f>IF(AND(SUMPRODUCT(--ISNUMBER(SEARCH(TRIM(Keywords!$A$2:$A$16),A862)))&gt;0,
        SUMPRODUCT(--ISNUMBER(SEARCH(TRIM(Keywords!$B$2:$B$14),A862)))&gt;0),"Neutral",
IF(SUMPRODUCT(--ISNUMBER(SEARCH(TRIM(Keywords!$A$2:$A$16),A862)))&gt;0,"Positive",
IF(SUMPRODUCT(--ISNUMBER(SEARCH(TRIM(Keywords!$A$2:$B$14),A862)))&gt;0,"Negative","Neutral")))</f>
        <v>Neutral</v>
      </c>
    </row>
    <row r="863" spans="1:3" x14ac:dyDescent="0.25">
      <c r="A863" t="s">
        <v>494</v>
      </c>
      <c r="B863">
        <v>5</v>
      </c>
      <c r="C863" t="str">
        <f>IF(AND(SUMPRODUCT(--ISNUMBER(SEARCH(TRIM(Keywords!$A$2:$A$16),A863)))&gt;0,
        SUMPRODUCT(--ISNUMBER(SEARCH(TRIM(Keywords!$B$2:$B$14),A863)))&gt;0),"Neutral",
IF(SUMPRODUCT(--ISNUMBER(SEARCH(TRIM(Keywords!$A$2:$A$16),A863)))&gt;0,"Positive",
IF(SUMPRODUCT(--ISNUMBER(SEARCH(TRIM(Keywords!$A$2:$B$14),A863)))&gt;0,"Negative","Neutral")))</f>
        <v>Neutral</v>
      </c>
    </row>
    <row r="864" spans="1:3" hidden="1" x14ac:dyDescent="0.25">
      <c r="A864" t="s">
        <v>495</v>
      </c>
      <c r="B864">
        <v>5</v>
      </c>
      <c r="C864" t="str">
        <f>IF(AND(SUMPRODUCT(--ISNUMBER(SEARCH(TRIM(Keywords!$A$2:$A$16),A864)))&gt;0,
        SUMPRODUCT(--ISNUMBER(SEARCH(TRIM(Keywords!$B$2:$B$14),A864)))&gt;0),"Neutral",
IF(SUMPRODUCT(--ISNUMBER(SEARCH(TRIM(Keywords!$A$2:$A$16),A864)))&gt;0,"Positive",
IF(SUMPRODUCT(--ISNUMBER(SEARCH(TRIM(Keywords!$A$2:$B$14),A864)))&gt;0,"Negative","Neutral")))</f>
        <v>Positive</v>
      </c>
    </row>
    <row r="865" spans="1:3" hidden="1" x14ac:dyDescent="0.25">
      <c r="A865" t="s">
        <v>37</v>
      </c>
      <c r="B865">
        <v>5</v>
      </c>
      <c r="C865" t="str">
        <f>IF(AND(SUMPRODUCT(--ISNUMBER(SEARCH(TRIM(Keywords!$A$2:$A$16),A865)))&gt;0,
        SUMPRODUCT(--ISNUMBER(SEARCH(TRIM(Keywords!$B$2:$B$14),A865)))&gt;0),"Neutral",
IF(SUMPRODUCT(--ISNUMBER(SEARCH(TRIM(Keywords!$A$2:$A$16),A865)))&gt;0,"Positive",
IF(SUMPRODUCT(--ISNUMBER(SEARCH(TRIM(Keywords!$A$2:$B$14),A865)))&gt;0,"Negative","Neutral")))</f>
        <v>Positive</v>
      </c>
    </row>
    <row r="866" spans="1:3" x14ac:dyDescent="0.25">
      <c r="A866" t="s">
        <v>34</v>
      </c>
      <c r="B866">
        <v>5</v>
      </c>
      <c r="C866" t="str">
        <f>IF(AND(SUMPRODUCT(--ISNUMBER(SEARCH(TRIM(Keywords!$A$2:$A$16),A866)))&gt;0,
        SUMPRODUCT(--ISNUMBER(SEARCH(TRIM(Keywords!$B$2:$B$14),A866)))&gt;0),"Neutral",
IF(SUMPRODUCT(--ISNUMBER(SEARCH(TRIM(Keywords!$A$2:$A$16),A866)))&gt;0,"Positive",
IF(SUMPRODUCT(--ISNUMBER(SEARCH(TRIM(Keywords!$A$2:$B$14),A866)))&gt;0,"Negative","Neutral")))</f>
        <v>Neutral</v>
      </c>
    </row>
    <row r="867" spans="1:3" x14ac:dyDescent="0.25">
      <c r="A867" t="s">
        <v>34</v>
      </c>
      <c r="B867">
        <v>5</v>
      </c>
      <c r="C867" t="str">
        <f>IF(AND(SUMPRODUCT(--ISNUMBER(SEARCH(TRIM(Keywords!$A$2:$A$16),A867)))&gt;0,
        SUMPRODUCT(--ISNUMBER(SEARCH(TRIM(Keywords!$B$2:$B$14),A867)))&gt;0),"Neutral",
IF(SUMPRODUCT(--ISNUMBER(SEARCH(TRIM(Keywords!$A$2:$A$16),A867)))&gt;0,"Positive",
IF(SUMPRODUCT(--ISNUMBER(SEARCH(TRIM(Keywords!$A$2:$B$14),A867)))&gt;0,"Negative","Neutral")))</f>
        <v>Neutral</v>
      </c>
    </row>
    <row r="868" spans="1:3" x14ac:dyDescent="0.25">
      <c r="A868" t="s">
        <v>496</v>
      </c>
      <c r="B868">
        <v>1</v>
      </c>
      <c r="C868" t="str">
        <f>IF(AND(SUMPRODUCT(--ISNUMBER(SEARCH(TRIM(Keywords!$A$2:$A$16),A868)))&gt;0,
        SUMPRODUCT(--ISNUMBER(SEARCH(TRIM(Keywords!$B$2:$B$14),A868)))&gt;0),"Neutral",
IF(SUMPRODUCT(--ISNUMBER(SEARCH(TRIM(Keywords!$A$2:$A$16),A868)))&gt;0,"Positive",
IF(SUMPRODUCT(--ISNUMBER(SEARCH(TRIM(Keywords!$A$2:$B$14),A868)))&gt;0,"Negative","Neutral")))</f>
        <v>Neutral</v>
      </c>
    </row>
    <row r="869" spans="1:3" hidden="1" x14ac:dyDescent="0.25">
      <c r="A869" t="s">
        <v>2</v>
      </c>
      <c r="B869">
        <v>5</v>
      </c>
      <c r="C869" t="str">
        <f>IF(AND(SUMPRODUCT(--ISNUMBER(SEARCH(TRIM(Keywords!$A$2:$A$16),A869)))&gt;0,
        SUMPRODUCT(--ISNUMBER(SEARCH(TRIM(Keywords!$B$2:$B$14),A869)))&gt;0),"Neutral",
IF(SUMPRODUCT(--ISNUMBER(SEARCH(TRIM(Keywords!$A$2:$A$16),A869)))&gt;0,"Positive",
IF(SUMPRODUCT(--ISNUMBER(SEARCH(TRIM(Keywords!$A$2:$B$14),A869)))&gt;0,"Negative","Neutral")))</f>
        <v>Positive</v>
      </c>
    </row>
    <row r="870" spans="1:3" x14ac:dyDescent="0.25">
      <c r="A870" t="s">
        <v>497</v>
      </c>
      <c r="B870">
        <v>5</v>
      </c>
      <c r="C870" t="str">
        <f>IF(AND(SUMPRODUCT(--ISNUMBER(SEARCH(TRIM(Keywords!$A$2:$A$16),A870)))&gt;0,
        SUMPRODUCT(--ISNUMBER(SEARCH(TRIM(Keywords!$B$2:$B$14),A870)))&gt;0),"Neutral",
IF(SUMPRODUCT(--ISNUMBER(SEARCH(TRIM(Keywords!$A$2:$A$16),A870)))&gt;0,"Positive",
IF(SUMPRODUCT(--ISNUMBER(SEARCH(TRIM(Keywords!$A$2:$B$14),A870)))&gt;0,"Negative","Neutral")))</f>
        <v>Neutral</v>
      </c>
    </row>
    <row r="871" spans="1:3" hidden="1" x14ac:dyDescent="0.25">
      <c r="A871" t="s">
        <v>498</v>
      </c>
      <c r="B871">
        <v>1</v>
      </c>
      <c r="C871" t="str">
        <f>IF(AND(SUMPRODUCT(--ISNUMBER(SEARCH(TRIM(Keywords!$A$2:$A$16),A871)))&gt;0,
        SUMPRODUCT(--ISNUMBER(SEARCH(TRIM(Keywords!$B$2:$B$14),A871)))&gt;0),"Neutral",
IF(SUMPRODUCT(--ISNUMBER(SEARCH(TRIM(Keywords!$A$2:$A$16),A871)))&gt;0,"Positive",
IF(SUMPRODUCT(--ISNUMBER(SEARCH(TRIM(Keywords!$A$2:$B$14),A871)))&gt;0,"Negative","Neutral")))</f>
        <v>Negative</v>
      </c>
    </row>
    <row r="872" spans="1:3" hidden="1" x14ac:dyDescent="0.25">
      <c r="A872" t="s">
        <v>39</v>
      </c>
      <c r="B872">
        <v>5</v>
      </c>
      <c r="C872" t="str">
        <f>IF(AND(SUMPRODUCT(--ISNUMBER(SEARCH(TRIM(Keywords!$A$2:$A$16),A872)))&gt;0,
        SUMPRODUCT(--ISNUMBER(SEARCH(TRIM(Keywords!$B$2:$B$14),A872)))&gt;0),"Neutral",
IF(SUMPRODUCT(--ISNUMBER(SEARCH(TRIM(Keywords!$A$2:$A$16),A872)))&gt;0,"Positive",
IF(SUMPRODUCT(--ISNUMBER(SEARCH(TRIM(Keywords!$A$2:$B$14),A872)))&gt;0,"Negative","Neutral")))</f>
        <v>Positive</v>
      </c>
    </row>
    <row r="873" spans="1:3" hidden="1" x14ac:dyDescent="0.25">
      <c r="A873" t="s">
        <v>2</v>
      </c>
      <c r="B873">
        <v>5</v>
      </c>
      <c r="C873" t="str">
        <f>IF(AND(SUMPRODUCT(--ISNUMBER(SEARCH(TRIM(Keywords!$A$2:$A$16),A873)))&gt;0,
        SUMPRODUCT(--ISNUMBER(SEARCH(TRIM(Keywords!$B$2:$B$14),A873)))&gt;0),"Neutral",
IF(SUMPRODUCT(--ISNUMBER(SEARCH(TRIM(Keywords!$A$2:$A$16),A873)))&gt;0,"Positive",
IF(SUMPRODUCT(--ISNUMBER(SEARCH(TRIM(Keywords!$A$2:$B$14),A873)))&gt;0,"Negative","Neutral")))</f>
        <v>Positive</v>
      </c>
    </row>
    <row r="874" spans="1:3" x14ac:dyDescent="0.25">
      <c r="A874" t="s">
        <v>64</v>
      </c>
      <c r="B874">
        <v>1</v>
      </c>
      <c r="C874" t="str">
        <f>IF(AND(SUMPRODUCT(--ISNUMBER(SEARCH(TRIM(Keywords!$A$2:$A$16),A874)))&gt;0,
        SUMPRODUCT(--ISNUMBER(SEARCH(TRIM(Keywords!$B$2:$B$14),A874)))&gt;0),"Neutral",
IF(SUMPRODUCT(--ISNUMBER(SEARCH(TRIM(Keywords!$A$2:$A$16),A874)))&gt;0,"Positive",
IF(SUMPRODUCT(--ISNUMBER(SEARCH(TRIM(Keywords!$A$2:$B$14),A874)))&gt;0,"Negative","Neutral")))</f>
        <v>Neutral</v>
      </c>
    </row>
    <row r="875" spans="1:3" x14ac:dyDescent="0.25">
      <c r="A875" t="s">
        <v>499</v>
      </c>
      <c r="B875">
        <v>5</v>
      </c>
      <c r="C875" t="str">
        <f>IF(AND(SUMPRODUCT(--ISNUMBER(SEARCH(TRIM(Keywords!$A$2:$A$16),A875)))&gt;0,
        SUMPRODUCT(--ISNUMBER(SEARCH(TRIM(Keywords!$B$2:$B$14),A875)))&gt;0),"Neutral",
IF(SUMPRODUCT(--ISNUMBER(SEARCH(TRIM(Keywords!$A$2:$A$16),A875)))&gt;0,"Positive",
IF(SUMPRODUCT(--ISNUMBER(SEARCH(TRIM(Keywords!$A$2:$B$14),A875)))&gt;0,"Negative","Neutral")))</f>
        <v>Neutral</v>
      </c>
    </row>
    <row r="876" spans="1:3" hidden="1" x14ac:dyDescent="0.25">
      <c r="A876" t="s">
        <v>2</v>
      </c>
      <c r="B876">
        <v>5</v>
      </c>
      <c r="C876" t="str">
        <f>IF(AND(SUMPRODUCT(--ISNUMBER(SEARCH(TRIM(Keywords!$A$2:$A$16),A876)))&gt;0,
        SUMPRODUCT(--ISNUMBER(SEARCH(TRIM(Keywords!$B$2:$B$14),A876)))&gt;0),"Neutral",
IF(SUMPRODUCT(--ISNUMBER(SEARCH(TRIM(Keywords!$A$2:$A$16),A876)))&gt;0,"Positive",
IF(SUMPRODUCT(--ISNUMBER(SEARCH(TRIM(Keywords!$A$2:$B$14),A876)))&gt;0,"Negative","Neutral")))</f>
        <v>Positive</v>
      </c>
    </row>
    <row r="877" spans="1:3" x14ac:dyDescent="0.25">
      <c r="A877" t="s">
        <v>500</v>
      </c>
      <c r="B877">
        <v>5</v>
      </c>
      <c r="C877" t="str">
        <f>IF(AND(SUMPRODUCT(--ISNUMBER(SEARCH(TRIM(Keywords!$A$2:$A$16),A877)))&gt;0,
        SUMPRODUCT(--ISNUMBER(SEARCH(TRIM(Keywords!$B$2:$B$14),A877)))&gt;0),"Neutral",
IF(SUMPRODUCT(--ISNUMBER(SEARCH(TRIM(Keywords!$A$2:$A$16),A877)))&gt;0,"Positive",
IF(SUMPRODUCT(--ISNUMBER(SEARCH(TRIM(Keywords!$A$2:$B$14),A877)))&gt;0,"Negative","Neutral")))</f>
        <v>Neutral</v>
      </c>
    </row>
    <row r="878" spans="1:3" hidden="1" x14ac:dyDescent="0.25">
      <c r="A878" t="s">
        <v>501</v>
      </c>
      <c r="B878">
        <v>4</v>
      </c>
      <c r="C878" t="str">
        <f>IF(AND(SUMPRODUCT(--ISNUMBER(SEARCH(TRIM(Keywords!$A$2:$A$16),A878)))&gt;0,
        SUMPRODUCT(--ISNUMBER(SEARCH(TRIM(Keywords!$B$2:$B$14),A878)))&gt;0),"Neutral",
IF(SUMPRODUCT(--ISNUMBER(SEARCH(TRIM(Keywords!$A$2:$A$16),A878)))&gt;0,"Positive",
IF(SUMPRODUCT(--ISNUMBER(SEARCH(TRIM(Keywords!$A$2:$B$14),A878)))&gt;0,"Negative","Neutral")))</f>
        <v>Positive</v>
      </c>
    </row>
    <row r="879" spans="1:3" x14ac:dyDescent="0.25">
      <c r="A879" t="s">
        <v>36</v>
      </c>
      <c r="B879">
        <v>5</v>
      </c>
      <c r="C879" t="str">
        <f>IF(AND(SUMPRODUCT(--ISNUMBER(SEARCH(TRIM(Keywords!$A$2:$A$16),A879)))&gt;0,
        SUMPRODUCT(--ISNUMBER(SEARCH(TRIM(Keywords!$B$2:$B$14),A879)))&gt;0),"Neutral",
IF(SUMPRODUCT(--ISNUMBER(SEARCH(TRIM(Keywords!$A$2:$A$16),A879)))&gt;0,"Positive",
IF(SUMPRODUCT(--ISNUMBER(SEARCH(TRIM(Keywords!$A$2:$B$14),A879)))&gt;0,"Negative","Neutral")))</f>
        <v>Neutral</v>
      </c>
    </row>
    <row r="880" spans="1:3" hidden="1" x14ac:dyDescent="0.25">
      <c r="A880" t="s">
        <v>502</v>
      </c>
      <c r="B880">
        <v>5</v>
      </c>
      <c r="C880" t="str">
        <f>IF(AND(SUMPRODUCT(--ISNUMBER(SEARCH(TRIM(Keywords!$A$2:$A$16),A880)))&gt;0,
        SUMPRODUCT(--ISNUMBER(SEARCH(TRIM(Keywords!$B$2:$B$14),A880)))&gt;0),"Neutral",
IF(SUMPRODUCT(--ISNUMBER(SEARCH(TRIM(Keywords!$A$2:$A$16),A880)))&gt;0,"Positive",
IF(SUMPRODUCT(--ISNUMBER(SEARCH(TRIM(Keywords!$A$2:$B$14),A880)))&gt;0,"Negative","Neutral")))</f>
        <v>Positive</v>
      </c>
    </row>
    <row r="881" spans="1:3" hidden="1" x14ac:dyDescent="0.25">
      <c r="A881" t="s">
        <v>12</v>
      </c>
      <c r="B881">
        <v>5</v>
      </c>
      <c r="C881" t="str">
        <f>IF(AND(SUMPRODUCT(--ISNUMBER(SEARCH(TRIM(Keywords!$A$2:$A$16),A881)))&gt;0,
        SUMPRODUCT(--ISNUMBER(SEARCH(TRIM(Keywords!$B$2:$B$14),A881)))&gt;0),"Neutral",
IF(SUMPRODUCT(--ISNUMBER(SEARCH(TRIM(Keywords!$A$2:$A$16),A881)))&gt;0,"Positive",
IF(SUMPRODUCT(--ISNUMBER(SEARCH(TRIM(Keywords!$A$2:$B$14),A881)))&gt;0,"Negative","Neutral")))</f>
        <v>Positive</v>
      </c>
    </row>
    <row r="882" spans="1:3" hidden="1" x14ac:dyDescent="0.25">
      <c r="A882" t="s">
        <v>503</v>
      </c>
      <c r="B882">
        <v>5</v>
      </c>
      <c r="C882" t="str">
        <f>IF(AND(SUMPRODUCT(--ISNUMBER(SEARCH(TRIM(Keywords!$A$2:$A$16),A882)))&gt;0,
        SUMPRODUCT(--ISNUMBER(SEARCH(TRIM(Keywords!$B$2:$B$14),A882)))&gt;0),"Neutral",
IF(SUMPRODUCT(--ISNUMBER(SEARCH(TRIM(Keywords!$A$2:$A$16),A882)))&gt;0,"Positive",
IF(SUMPRODUCT(--ISNUMBER(SEARCH(TRIM(Keywords!$A$2:$B$14),A882)))&gt;0,"Negative","Neutral")))</f>
        <v>Positive</v>
      </c>
    </row>
    <row r="883" spans="1:3" hidden="1" x14ac:dyDescent="0.25">
      <c r="A883" t="s">
        <v>37</v>
      </c>
      <c r="B883">
        <v>4</v>
      </c>
      <c r="C883" t="str">
        <f>IF(AND(SUMPRODUCT(--ISNUMBER(SEARCH(TRIM(Keywords!$A$2:$A$16),A883)))&gt;0,
        SUMPRODUCT(--ISNUMBER(SEARCH(TRIM(Keywords!$B$2:$B$14),A883)))&gt;0),"Neutral",
IF(SUMPRODUCT(--ISNUMBER(SEARCH(TRIM(Keywords!$A$2:$A$16),A883)))&gt;0,"Positive",
IF(SUMPRODUCT(--ISNUMBER(SEARCH(TRIM(Keywords!$A$2:$B$14),A883)))&gt;0,"Negative","Neutral")))</f>
        <v>Positive</v>
      </c>
    </row>
    <row r="884" spans="1:3" x14ac:dyDescent="0.25">
      <c r="A884" t="s">
        <v>504</v>
      </c>
      <c r="B884">
        <v>5</v>
      </c>
      <c r="C884" t="str">
        <f>IF(AND(SUMPRODUCT(--ISNUMBER(SEARCH(TRIM(Keywords!$A$2:$A$16),A884)))&gt;0,
        SUMPRODUCT(--ISNUMBER(SEARCH(TRIM(Keywords!$B$2:$B$14),A884)))&gt;0),"Neutral",
IF(SUMPRODUCT(--ISNUMBER(SEARCH(TRIM(Keywords!$A$2:$A$16),A884)))&gt;0,"Positive",
IF(SUMPRODUCT(--ISNUMBER(SEARCH(TRIM(Keywords!$A$2:$B$14),A884)))&gt;0,"Negative","Neutral")))</f>
        <v>Neutral</v>
      </c>
    </row>
    <row r="885" spans="1:3" hidden="1" x14ac:dyDescent="0.25">
      <c r="A885" t="s">
        <v>339</v>
      </c>
      <c r="B885">
        <v>1</v>
      </c>
      <c r="C885" t="str">
        <f>IF(AND(SUMPRODUCT(--ISNUMBER(SEARCH(TRIM(Keywords!$A$2:$A$16),A885)))&gt;0,
        SUMPRODUCT(--ISNUMBER(SEARCH(TRIM(Keywords!$B$2:$B$14),A885)))&gt;0),"Neutral",
IF(SUMPRODUCT(--ISNUMBER(SEARCH(TRIM(Keywords!$A$2:$A$16),A885)))&gt;0,"Positive",
IF(SUMPRODUCT(--ISNUMBER(SEARCH(TRIM(Keywords!$A$2:$B$14),A885)))&gt;0,"Negative","Neutral")))</f>
        <v>Negative</v>
      </c>
    </row>
    <row r="886" spans="1:3" x14ac:dyDescent="0.25">
      <c r="A886" t="s">
        <v>36</v>
      </c>
      <c r="B886">
        <v>5</v>
      </c>
      <c r="C886" t="str">
        <f>IF(AND(SUMPRODUCT(--ISNUMBER(SEARCH(TRIM(Keywords!$A$2:$A$16),A886)))&gt;0,
        SUMPRODUCT(--ISNUMBER(SEARCH(TRIM(Keywords!$B$2:$B$14),A886)))&gt;0),"Neutral",
IF(SUMPRODUCT(--ISNUMBER(SEARCH(TRIM(Keywords!$A$2:$A$16),A886)))&gt;0,"Positive",
IF(SUMPRODUCT(--ISNUMBER(SEARCH(TRIM(Keywords!$A$2:$B$14),A886)))&gt;0,"Negative","Neutral")))</f>
        <v>Neutral</v>
      </c>
    </row>
    <row r="887" spans="1:3" hidden="1" x14ac:dyDescent="0.25">
      <c r="A887" t="s">
        <v>2</v>
      </c>
      <c r="B887">
        <v>5</v>
      </c>
      <c r="C887" t="str">
        <f>IF(AND(SUMPRODUCT(--ISNUMBER(SEARCH(TRIM(Keywords!$A$2:$A$16),A887)))&gt;0,
        SUMPRODUCT(--ISNUMBER(SEARCH(TRIM(Keywords!$B$2:$B$14),A887)))&gt;0),"Neutral",
IF(SUMPRODUCT(--ISNUMBER(SEARCH(TRIM(Keywords!$A$2:$A$16),A887)))&gt;0,"Positive",
IF(SUMPRODUCT(--ISNUMBER(SEARCH(TRIM(Keywords!$A$2:$B$14),A887)))&gt;0,"Negative","Neutral")))</f>
        <v>Positive</v>
      </c>
    </row>
    <row r="888" spans="1:3" x14ac:dyDescent="0.25">
      <c r="A888" t="s">
        <v>505</v>
      </c>
      <c r="B888">
        <v>5</v>
      </c>
      <c r="C888" t="str">
        <f>IF(AND(SUMPRODUCT(--ISNUMBER(SEARCH(TRIM(Keywords!$A$2:$A$16),A888)))&gt;0,
        SUMPRODUCT(--ISNUMBER(SEARCH(TRIM(Keywords!$B$2:$B$14),A888)))&gt;0),"Neutral",
IF(SUMPRODUCT(--ISNUMBER(SEARCH(TRIM(Keywords!$A$2:$A$16),A888)))&gt;0,"Positive",
IF(SUMPRODUCT(--ISNUMBER(SEARCH(TRIM(Keywords!$A$2:$B$14),A888)))&gt;0,"Negative","Neutral")))</f>
        <v>Neutral</v>
      </c>
    </row>
    <row r="889" spans="1:3" hidden="1" x14ac:dyDescent="0.25">
      <c r="A889" t="s">
        <v>506</v>
      </c>
      <c r="B889">
        <v>1</v>
      </c>
      <c r="C889" t="str">
        <f>IF(AND(SUMPRODUCT(--ISNUMBER(SEARCH(TRIM(Keywords!$A$2:$A$16),A889)))&gt;0,
        SUMPRODUCT(--ISNUMBER(SEARCH(TRIM(Keywords!$B$2:$B$14),A889)))&gt;0),"Neutral",
IF(SUMPRODUCT(--ISNUMBER(SEARCH(TRIM(Keywords!$A$2:$A$16),A889)))&gt;0,"Positive",
IF(SUMPRODUCT(--ISNUMBER(SEARCH(TRIM(Keywords!$A$2:$B$14),A889)))&gt;0,"Negative","Neutral")))</f>
        <v>Negative</v>
      </c>
    </row>
    <row r="890" spans="1:3" hidden="1" x14ac:dyDescent="0.25">
      <c r="A890" t="s">
        <v>124</v>
      </c>
      <c r="B890">
        <v>4</v>
      </c>
      <c r="C890" t="str">
        <f>IF(AND(SUMPRODUCT(--ISNUMBER(SEARCH(TRIM(Keywords!$A$2:$A$16),A890)))&gt;0,
        SUMPRODUCT(--ISNUMBER(SEARCH(TRIM(Keywords!$B$2:$B$14),A890)))&gt;0),"Neutral",
IF(SUMPRODUCT(--ISNUMBER(SEARCH(TRIM(Keywords!$A$2:$A$16),A890)))&gt;0,"Positive",
IF(SUMPRODUCT(--ISNUMBER(SEARCH(TRIM(Keywords!$A$2:$B$14),A890)))&gt;0,"Negative","Neutral")))</f>
        <v>Positive</v>
      </c>
    </row>
    <row r="891" spans="1:3" x14ac:dyDescent="0.25">
      <c r="A891" t="s">
        <v>195</v>
      </c>
      <c r="B891">
        <v>5</v>
      </c>
      <c r="C891" t="str">
        <f>IF(AND(SUMPRODUCT(--ISNUMBER(SEARCH(TRIM(Keywords!$A$2:$A$16),A891)))&gt;0,
        SUMPRODUCT(--ISNUMBER(SEARCH(TRIM(Keywords!$B$2:$B$14),A891)))&gt;0),"Neutral",
IF(SUMPRODUCT(--ISNUMBER(SEARCH(TRIM(Keywords!$A$2:$A$16),A891)))&gt;0,"Positive",
IF(SUMPRODUCT(--ISNUMBER(SEARCH(TRIM(Keywords!$A$2:$B$14),A891)))&gt;0,"Negative","Neutral")))</f>
        <v>Neutral</v>
      </c>
    </row>
    <row r="892" spans="1:3" x14ac:dyDescent="0.25">
      <c r="A892" t="s">
        <v>36</v>
      </c>
      <c r="B892">
        <v>5</v>
      </c>
      <c r="C892" t="str">
        <f>IF(AND(SUMPRODUCT(--ISNUMBER(SEARCH(TRIM(Keywords!$A$2:$A$16),A892)))&gt;0,
        SUMPRODUCT(--ISNUMBER(SEARCH(TRIM(Keywords!$B$2:$B$14),A892)))&gt;0),"Neutral",
IF(SUMPRODUCT(--ISNUMBER(SEARCH(TRIM(Keywords!$A$2:$A$16),A892)))&gt;0,"Positive",
IF(SUMPRODUCT(--ISNUMBER(SEARCH(TRIM(Keywords!$A$2:$B$14),A892)))&gt;0,"Negative","Neutral")))</f>
        <v>Neutral</v>
      </c>
    </row>
    <row r="893" spans="1:3" hidden="1" x14ac:dyDescent="0.25">
      <c r="A893" t="s">
        <v>2</v>
      </c>
      <c r="B893">
        <v>5</v>
      </c>
      <c r="C893" t="str">
        <f>IF(AND(SUMPRODUCT(--ISNUMBER(SEARCH(TRIM(Keywords!$A$2:$A$16),A893)))&gt;0,
        SUMPRODUCT(--ISNUMBER(SEARCH(TRIM(Keywords!$B$2:$B$14),A893)))&gt;0),"Neutral",
IF(SUMPRODUCT(--ISNUMBER(SEARCH(TRIM(Keywords!$A$2:$A$16),A893)))&gt;0,"Positive",
IF(SUMPRODUCT(--ISNUMBER(SEARCH(TRIM(Keywords!$A$2:$B$14),A893)))&gt;0,"Negative","Neutral")))</f>
        <v>Positive</v>
      </c>
    </row>
    <row r="894" spans="1:3" x14ac:dyDescent="0.25">
      <c r="A894" t="s">
        <v>507</v>
      </c>
      <c r="B894">
        <v>2</v>
      </c>
      <c r="C894" t="str">
        <f>IF(AND(SUMPRODUCT(--ISNUMBER(SEARCH(TRIM(Keywords!$A$2:$A$16),A894)))&gt;0,
        SUMPRODUCT(--ISNUMBER(SEARCH(TRIM(Keywords!$B$2:$B$14),A894)))&gt;0),"Neutral",
IF(SUMPRODUCT(--ISNUMBER(SEARCH(TRIM(Keywords!$A$2:$A$16),A894)))&gt;0,"Positive",
IF(SUMPRODUCT(--ISNUMBER(SEARCH(TRIM(Keywords!$A$2:$B$14),A894)))&gt;0,"Negative","Neutral")))</f>
        <v>Neutral</v>
      </c>
    </row>
    <row r="895" spans="1:3" x14ac:dyDescent="0.25">
      <c r="A895" t="s">
        <v>36</v>
      </c>
      <c r="B895">
        <v>5</v>
      </c>
      <c r="C895" t="str">
        <f>IF(AND(SUMPRODUCT(--ISNUMBER(SEARCH(TRIM(Keywords!$A$2:$A$16),A895)))&gt;0,
        SUMPRODUCT(--ISNUMBER(SEARCH(TRIM(Keywords!$B$2:$B$14),A895)))&gt;0),"Neutral",
IF(SUMPRODUCT(--ISNUMBER(SEARCH(TRIM(Keywords!$A$2:$A$16),A895)))&gt;0,"Positive",
IF(SUMPRODUCT(--ISNUMBER(SEARCH(TRIM(Keywords!$A$2:$B$14),A895)))&gt;0,"Negative","Neutral")))</f>
        <v>Neutral</v>
      </c>
    </row>
    <row r="896" spans="1:3" x14ac:dyDescent="0.25">
      <c r="A896" t="s">
        <v>508</v>
      </c>
      <c r="B896">
        <v>5</v>
      </c>
      <c r="C896" t="str">
        <f>IF(AND(SUMPRODUCT(--ISNUMBER(SEARCH(TRIM(Keywords!$A$2:$A$16),A896)))&gt;0,
        SUMPRODUCT(--ISNUMBER(SEARCH(TRIM(Keywords!$B$2:$B$14),A896)))&gt;0),"Neutral",
IF(SUMPRODUCT(--ISNUMBER(SEARCH(TRIM(Keywords!$A$2:$A$16),A896)))&gt;0,"Positive",
IF(SUMPRODUCT(--ISNUMBER(SEARCH(TRIM(Keywords!$A$2:$B$14),A896)))&gt;0,"Negative","Neutral")))</f>
        <v>Neutral</v>
      </c>
    </row>
    <row r="897" spans="1:3" x14ac:dyDescent="0.25">
      <c r="A897" t="s">
        <v>509</v>
      </c>
      <c r="B897">
        <v>5</v>
      </c>
      <c r="C897" t="str">
        <f>IF(AND(SUMPRODUCT(--ISNUMBER(SEARCH(TRIM(Keywords!$A$2:$A$16),A897)))&gt;0,
        SUMPRODUCT(--ISNUMBER(SEARCH(TRIM(Keywords!$B$2:$B$14),A897)))&gt;0),"Neutral",
IF(SUMPRODUCT(--ISNUMBER(SEARCH(TRIM(Keywords!$A$2:$A$16),A897)))&gt;0,"Positive",
IF(SUMPRODUCT(--ISNUMBER(SEARCH(TRIM(Keywords!$A$2:$B$14),A897)))&gt;0,"Negative","Neutral")))</f>
        <v>Neutral</v>
      </c>
    </row>
    <row r="898" spans="1:3" hidden="1" x14ac:dyDescent="0.25">
      <c r="A898" t="s">
        <v>2</v>
      </c>
      <c r="B898">
        <v>5</v>
      </c>
      <c r="C898" t="str">
        <f>IF(AND(SUMPRODUCT(--ISNUMBER(SEARCH(TRIM(Keywords!$A$2:$A$16),A898)))&gt;0,
        SUMPRODUCT(--ISNUMBER(SEARCH(TRIM(Keywords!$B$2:$B$14),A898)))&gt;0),"Neutral",
IF(SUMPRODUCT(--ISNUMBER(SEARCH(TRIM(Keywords!$A$2:$A$16),A898)))&gt;0,"Positive",
IF(SUMPRODUCT(--ISNUMBER(SEARCH(TRIM(Keywords!$A$2:$B$14),A898)))&gt;0,"Negative","Neutral")))</f>
        <v>Positive</v>
      </c>
    </row>
    <row r="899" spans="1:3" hidden="1" x14ac:dyDescent="0.25">
      <c r="A899" t="s">
        <v>2</v>
      </c>
      <c r="B899">
        <v>5</v>
      </c>
      <c r="C899" t="str">
        <f>IF(AND(SUMPRODUCT(--ISNUMBER(SEARCH(TRIM(Keywords!$A$2:$A$16),A899)))&gt;0,
        SUMPRODUCT(--ISNUMBER(SEARCH(TRIM(Keywords!$B$2:$B$14),A899)))&gt;0),"Neutral",
IF(SUMPRODUCT(--ISNUMBER(SEARCH(TRIM(Keywords!$A$2:$A$16),A899)))&gt;0,"Positive",
IF(SUMPRODUCT(--ISNUMBER(SEARCH(TRIM(Keywords!$A$2:$B$14),A899)))&gt;0,"Negative","Neutral")))</f>
        <v>Positive</v>
      </c>
    </row>
    <row r="900" spans="1:3" x14ac:dyDescent="0.25">
      <c r="A900" t="s">
        <v>510</v>
      </c>
      <c r="B900">
        <v>5</v>
      </c>
      <c r="C900" t="str">
        <f>IF(AND(SUMPRODUCT(--ISNUMBER(SEARCH(TRIM(Keywords!$A$2:$A$16),A900)))&gt;0,
        SUMPRODUCT(--ISNUMBER(SEARCH(TRIM(Keywords!$B$2:$B$14),A900)))&gt;0),"Neutral",
IF(SUMPRODUCT(--ISNUMBER(SEARCH(TRIM(Keywords!$A$2:$A$16),A900)))&gt;0,"Positive",
IF(SUMPRODUCT(--ISNUMBER(SEARCH(TRIM(Keywords!$A$2:$B$14),A900)))&gt;0,"Negative","Neutral")))</f>
        <v>Neutral</v>
      </c>
    </row>
    <row r="901" spans="1:3" x14ac:dyDescent="0.25">
      <c r="A901" t="s">
        <v>330</v>
      </c>
      <c r="B901">
        <v>5</v>
      </c>
      <c r="C901" t="str">
        <f>IF(AND(SUMPRODUCT(--ISNUMBER(SEARCH(TRIM(Keywords!$A$2:$A$16),A901)))&gt;0,
        SUMPRODUCT(--ISNUMBER(SEARCH(TRIM(Keywords!$B$2:$B$14),A901)))&gt;0),"Neutral",
IF(SUMPRODUCT(--ISNUMBER(SEARCH(TRIM(Keywords!$A$2:$A$16),A901)))&gt;0,"Positive",
IF(SUMPRODUCT(--ISNUMBER(SEARCH(TRIM(Keywords!$A$2:$B$14),A901)))&gt;0,"Negative","Neutral")))</f>
        <v>Neutral</v>
      </c>
    </row>
    <row r="902" spans="1:3" hidden="1" x14ac:dyDescent="0.25">
      <c r="A902" t="s">
        <v>2</v>
      </c>
      <c r="B902">
        <v>5</v>
      </c>
      <c r="C902" t="str">
        <f>IF(AND(SUMPRODUCT(--ISNUMBER(SEARCH(TRIM(Keywords!$A$2:$A$16),A902)))&gt;0,
        SUMPRODUCT(--ISNUMBER(SEARCH(TRIM(Keywords!$B$2:$B$14),A902)))&gt;0),"Neutral",
IF(SUMPRODUCT(--ISNUMBER(SEARCH(TRIM(Keywords!$A$2:$A$16),A902)))&gt;0,"Positive",
IF(SUMPRODUCT(--ISNUMBER(SEARCH(TRIM(Keywords!$A$2:$B$14),A902)))&gt;0,"Negative","Neutral")))</f>
        <v>Positive</v>
      </c>
    </row>
    <row r="903" spans="1:3" x14ac:dyDescent="0.25">
      <c r="A903" t="s">
        <v>511</v>
      </c>
      <c r="B903">
        <v>5</v>
      </c>
      <c r="C903" t="str">
        <f>IF(AND(SUMPRODUCT(--ISNUMBER(SEARCH(TRIM(Keywords!$A$2:$A$16),A903)))&gt;0,
        SUMPRODUCT(--ISNUMBER(SEARCH(TRIM(Keywords!$B$2:$B$14),A903)))&gt;0),"Neutral",
IF(SUMPRODUCT(--ISNUMBER(SEARCH(TRIM(Keywords!$A$2:$A$16),A903)))&gt;0,"Positive",
IF(SUMPRODUCT(--ISNUMBER(SEARCH(TRIM(Keywords!$A$2:$B$14),A903)))&gt;0,"Negative","Neutral")))</f>
        <v>Neutral</v>
      </c>
    </row>
    <row r="904" spans="1:3" hidden="1" x14ac:dyDescent="0.25">
      <c r="A904" t="s">
        <v>2</v>
      </c>
      <c r="B904">
        <v>5</v>
      </c>
      <c r="C904" t="str">
        <f>IF(AND(SUMPRODUCT(--ISNUMBER(SEARCH(TRIM(Keywords!$A$2:$A$16),A904)))&gt;0,
        SUMPRODUCT(--ISNUMBER(SEARCH(TRIM(Keywords!$B$2:$B$14),A904)))&gt;0),"Neutral",
IF(SUMPRODUCT(--ISNUMBER(SEARCH(TRIM(Keywords!$A$2:$A$16),A904)))&gt;0,"Positive",
IF(SUMPRODUCT(--ISNUMBER(SEARCH(TRIM(Keywords!$A$2:$B$14),A904)))&gt;0,"Negative","Neutral")))</f>
        <v>Positive</v>
      </c>
    </row>
    <row r="905" spans="1:3" hidden="1" x14ac:dyDescent="0.25">
      <c r="A905" t="s">
        <v>512</v>
      </c>
      <c r="B905">
        <v>5</v>
      </c>
      <c r="C905" t="str">
        <f>IF(AND(SUMPRODUCT(--ISNUMBER(SEARCH(TRIM(Keywords!$A$2:$A$16),A905)))&gt;0,
        SUMPRODUCT(--ISNUMBER(SEARCH(TRIM(Keywords!$B$2:$B$14),A905)))&gt;0),"Neutral",
IF(SUMPRODUCT(--ISNUMBER(SEARCH(TRIM(Keywords!$A$2:$A$16),A905)))&gt;0,"Positive",
IF(SUMPRODUCT(--ISNUMBER(SEARCH(TRIM(Keywords!$A$2:$B$14),A905)))&gt;0,"Negative","Neutral")))</f>
        <v>Positive</v>
      </c>
    </row>
    <row r="906" spans="1:3" hidden="1" x14ac:dyDescent="0.25">
      <c r="A906" t="s">
        <v>2</v>
      </c>
      <c r="B906">
        <v>5</v>
      </c>
      <c r="C906" t="str">
        <f>IF(AND(SUMPRODUCT(--ISNUMBER(SEARCH(TRIM(Keywords!$A$2:$A$16),A906)))&gt;0,
        SUMPRODUCT(--ISNUMBER(SEARCH(TRIM(Keywords!$B$2:$B$14),A906)))&gt;0),"Neutral",
IF(SUMPRODUCT(--ISNUMBER(SEARCH(TRIM(Keywords!$A$2:$A$16),A906)))&gt;0,"Positive",
IF(SUMPRODUCT(--ISNUMBER(SEARCH(TRIM(Keywords!$A$2:$B$14),A906)))&gt;0,"Negative","Neutral")))</f>
        <v>Positive</v>
      </c>
    </row>
    <row r="907" spans="1:3" hidden="1" x14ac:dyDescent="0.25">
      <c r="A907" t="s">
        <v>2</v>
      </c>
      <c r="B907">
        <v>4</v>
      </c>
      <c r="C907" t="str">
        <f>IF(AND(SUMPRODUCT(--ISNUMBER(SEARCH(TRIM(Keywords!$A$2:$A$16),A907)))&gt;0,
        SUMPRODUCT(--ISNUMBER(SEARCH(TRIM(Keywords!$B$2:$B$14),A907)))&gt;0),"Neutral",
IF(SUMPRODUCT(--ISNUMBER(SEARCH(TRIM(Keywords!$A$2:$A$16),A907)))&gt;0,"Positive",
IF(SUMPRODUCT(--ISNUMBER(SEARCH(TRIM(Keywords!$A$2:$B$14),A907)))&gt;0,"Negative","Neutral")))</f>
        <v>Positive</v>
      </c>
    </row>
    <row r="908" spans="1:3" hidden="1" x14ac:dyDescent="0.25">
      <c r="A908" t="s">
        <v>2</v>
      </c>
      <c r="B908">
        <v>5</v>
      </c>
      <c r="C908" t="str">
        <f>IF(AND(SUMPRODUCT(--ISNUMBER(SEARCH(TRIM(Keywords!$A$2:$A$16),A908)))&gt;0,
        SUMPRODUCT(--ISNUMBER(SEARCH(TRIM(Keywords!$B$2:$B$14),A908)))&gt;0),"Neutral",
IF(SUMPRODUCT(--ISNUMBER(SEARCH(TRIM(Keywords!$A$2:$A$16),A908)))&gt;0,"Positive",
IF(SUMPRODUCT(--ISNUMBER(SEARCH(TRIM(Keywords!$A$2:$B$14),A908)))&gt;0,"Negative","Neutral")))</f>
        <v>Positive</v>
      </c>
    </row>
    <row r="909" spans="1:3" hidden="1" x14ac:dyDescent="0.25">
      <c r="A909" t="s">
        <v>37</v>
      </c>
      <c r="B909">
        <v>5</v>
      </c>
      <c r="C909" t="str">
        <f>IF(AND(SUMPRODUCT(--ISNUMBER(SEARCH(TRIM(Keywords!$A$2:$A$16),A909)))&gt;0,
        SUMPRODUCT(--ISNUMBER(SEARCH(TRIM(Keywords!$B$2:$B$14),A909)))&gt;0),"Neutral",
IF(SUMPRODUCT(--ISNUMBER(SEARCH(TRIM(Keywords!$A$2:$A$16),A909)))&gt;0,"Positive",
IF(SUMPRODUCT(--ISNUMBER(SEARCH(TRIM(Keywords!$A$2:$B$14),A909)))&gt;0,"Negative","Neutral")))</f>
        <v>Positive</v>
      </c>
    </row>
    <row r="910" spans="1:3" hidden="1" x14ac:dyDescent="0.25">
      <c r="A910" t="s">
        <v>2</v>
      </c>
      <c r="B910">
        <v>5</v>
      </c>
      <c r="C910" t="str">
        <f>IF(AND(SUMPRODUCT(--ISNUMBER(SEARCH(TRIM(Keywords!$A$2:$A$16),A910)))&gt;0,
        SUMPRODUCT(--ISNUMBER(SEARCH(TRIM(Keywords!$B$2:$B$14),A910)))&gt;0),"Neutral",
IF(SUMPRODUCT(--ISNUMBER(SEARCH(TRIM(Keywords!$A$2:$A$16),A910)))&gt;0,"Positive",
IF(SUMPRODUCT(--ISNUMBER(SEARCH(TRIM(Keywords!$A$2:$B$14),A910)))&gt;0,"Negative","Neutral")))</f>
        <v>Positive</v>
      </c>
    </row>
    <row r="911" spans="1:3" hidden="1" x14ac:dyDescent="0.25">
      <c r="A911" t="s">
        <v>10</v>
      </c>
      <c r="B911">
        <v>5</v>
      </c>
      <c r="C911" t="str">
        <f>IF(AND(SUMPRODUCT(--ISNUMBER(SEARCH(TRIM(Keywords!$A$2:$A$16),A911)))&gt;0,
        SUMPRODUCT(--ISNUMBER(SEARCH(TRIM(Keywords!$B$2:$B$14),A911)))&gt;0),"Neutral",
IF(SUMPRODUCT(--ISNUMBER(SEARCH(TRIM(Keywords!$A$2:$A$16),A911)))&gt;0,"Positive",
IF(SUMPRODUCT(--ISNUMBER(SEARCH(TRIM(Keywords!$A$2:$B$14),A911)))&gt;0,"Negative","Neutral")))</f>
        <v>Positive</v>
      </c>
    </row>
    <row r="912" spans="1:3" hidden="1" x14ac:dyDescent="0.25">
      <c r="A912" t="s">
        <v>2</v>
      </c>
      <c r="B912">
        <v>5</v>
      </c>
      <c r="C912" t="str">
        <f>IF(AND(SUMPRODUCT(--ISNUMBER(SEARCH(TRIM(Keywords!$A$2:$A$16),A912)))&gt;0,
        SUMPRODUCT(--ISNUMBER(SEARCH(TRIM(Keywords!$B$2:$B$14),A912)))&gt;0),"Neutral",
IF(SUMPRODUCT(--ISNUMBER(SEARCH(TRIM(Keywords!$A$2:$A$16),A912)))&gt;0,"Positive",
IF(SUMPRODUCT(--ISNUMBER(SEARCH(TRIM(Keywords!$A$2:$B$14),A912)))&gt;0,"Negative","Neutral")))</f>
        <v>Positive</v>
      </c>
    </row>
    <row r="913" spans="1:3" hidden="1" x14ac:dyDescent="0.25">
      <c r="A913" t="s">
        <v>2</v>
      </c>
      <c r="B913">
        <v>5</v>
      </c>
      <c r="C913" t="str">
        <f>IF(AND(SUMPRODUCT(--ISNUMBER(SEARCH(TRIM(Keywords!$A$2:$A$16),A913)))&gt;0,
        SUMPRODUCT(--ISNUMBER(SEARCH(TRIM(Keywords!$B$2:$B$14),A913)))&gt;0),"Neutral",
IF(SUMPRODUCT(--ISNUMBER(SEARCH(TRIM(Keywords!$A$2:$A$16),A913)))&gt;0,"Positive",
IF(SUMPRODUCT(--ISNUMBER(SEARCH(TRIM(Keywords!$A$2:$B$14),A913)))&gt;0,"Negative","Neutral")))</f>
        <v>Positive</v>
      </c>
    </row>
    <row r="914" spans="1:3" x14ac:dyDescent="0.25">
      <c r="A914" t="s">
        <v>513</v>
      </c>
      <c r="B914">
        <v>5</v>
      </c>
      <c r="C914" t="str">
        <f>IF(AND(SUMPRODUCT(--ISNUMBER(SEARCH(TRIM(Keywords!$A$2:$A$16),A914)))&gt;0,
        SUMPRODUCT(--ISNUMBER(SEARCH(TRIM(Keywords!$B$2:$B$14),A914)))&gt;0),"Neutral",
IF(SUMPRODUCT(--ISNUMBER(SEARCH(TRIM(Keywords!$A$2:$A$16),A914)))&gt;0,"Positive",
IF(SUMPRODUCT(--ISNUMBER(SEARCH(TRIM(Keywords!$A$2:$B$14),A914)))&gt;0,"Negative","Neutral")))</f>
        <v>Neutral</v>
      </c>
    </row>
    <row r="915" spans="1:3" hidden="1" x14ac:dyDescent="0.25">
      <c r="A915" t="s">
        <v>254</v>
      </c>
      <c r="B915">
        <v>5</v>
      </c>
      <c r="C915" t="str">
        <f>IF(AND(SUMPRODUCT(--ISNUMBER(SEARCH(TRIM(Keywords!$A$2:$A$16),A915)))&gt;0,
        SUMPRODUCT(--ISNUMBER(SEARCH(TRIM(Keywords!$B$2:$B$14),A915)))&gt;0),"Neutral",
IF(SUMPRODUCT(--ISNUMBER(SEARCH(TRIM(Keywords!$A$2:$A$16),A915)))&gt;0,"Positive",
IF(SUMPRODUCT(--ISNUMBER(SEARCH(TRIM(Keywords!$A$2:$B$14),A915)))&gt;0,"Negative","Neutral")))</f>
        <v>Positive</v>
      </c>
    </row>
    <row r="916" spans="1:3" hidden="1" x14ac:dyDescent="0.25">
      <c r="A916" t="s">
        <v>2</v>
      </c>
      <c r="B916">
        <v>5</v>
      </c>
      <c r="C916" t="str">
        <f>IF(AND(SUMPRODUCT(--ISNUMBER(SEARCH(TRIM(Keywords!$A$2:$A$16),A916)))&gt;0,
        SUMPRODUCT(--ISNUMBER(SEARCH(TRIM(Keywords!$B$2:$B$14),A916)))&gt;0),"Neutral",
IF(SUMPRODUCT(--ISNUMBER(SEARCH(TRIM(Keywords!$A$2:$A$16),A916)))&gt;0,"Positive",
IF(SUMPRODUCT(--ISNUMBER(SEARCH(TRIM(Keywords!$A$2:$B$14),A916)))&gt;0,"Negative","Neutral")))</f>
        <v>Positive</v>
      </c>
    </row>
    <row r="917" spans="1:3" hidden="1" x14ac:dyDescent="0.25">
      <c r="A917" t="s">
        <v>2</v>
      </c>
      <c r="B917">
        <v>5</v>
      </c>
      <c r="C917" t="str">
        <f>IF(AND(SUMPRODUCT(--ISNUMBER(SEARCH(TRIM(Keywords!$A$2:$A$16),A917)))&gt;0,
        SUMPRODUCT(--ISNUMBER(SEARCH(TRIM(Keywords!$B$2:$B$14),A917)))&gt;0),"Neutral",
IF(SUMPRODUCT(--ISNUMBER(SEARCH(TRIM(Keywords!$A$2:$A$16),A917)))&gt;0,"Positive",
IF(SUMPRODUCT(--ISNUMBER(SEARCH(TRIM(Keywords!$A$2:$B$14),A917)))&gt;0,"Negative","Neutral")))</f>
        <v>Positive</v>
      </c>
    </row>
    <row r="918" spans="1:3" x14ac:dyDescent="0.25">
      <c r="A918" t="s">
        <v>514</v>
      </c>
      <c r="B918">
        <v>3</v>
      </c>
      <c r="C918" t="str">
        <f>IF(AND(SUMPRODUCT(--ISNUMBER(SEARCH(TRIM(Keywords!$A$2:$A$16),A918)))&gt;0,
        SUMPRODUCT(--ISNUMBER(SEARCH(TRIM(Keywords!$B$2:$B$14),A918)))&gt;0),"Neutral",
IF(SUMPRODUCT(--ISNUMBER(SEARCH(TRIM(Keywords!$A$2:$A$16),A918)))&gt;0,"Positive",
IF(SUMPRODUCT(--ISNUMBER(SEARCH(TRIM(Keywords!$A$2:$B$14),A918)))&gt;0,"Negative","Neutral")))</f>
        <v>Neutral</v>
      </c>
    </row>
    <row r="919" spans="1:3" hidden="1" x14ac:dyDescent="0.25">
      <c r="A919" t="s">
        <v>50</v>
      </c>
      <c r="B919">
        <v>5</v>
      </c>
      <c r="C919" t="str">
        <f>IF(AND(SUMPRODUCT(--ISNUMBER(SEARCH(TRIM(Keywords!$A$2:$A$16),A919)))&gt;0,
        SUMPRODUCT(--ISNUMBER(SEARCH(TRIM(Keywords!$B$2:$B$14),A919)))&gt;0),"Neutral",
IF(SUMPRODUCT(--ISNUMBER(SEARCH(TRIM(Keywords!$A$2:$A$16),A919)))&gt;0,"Positive",
IF(SUMPRODUCT(--ISNUMBER(SEARCH(TRIM(Keywords!$A$2:$B$14),A919)))&gt;0,"Negative","Neutral")))</f>
        <v>Positive</v>
      </c>
    </row>
    <row r="920" spans="1:3" x14ac:dyDescent="0.25">
      <c r="A920" t="s">
        <v>36</v>
      </c>
      <c r="B920">
        <v>5</v>
      </c>
      <c r="C920" t="str">
        <f>IF(AND(SUMPRODUCT(--ISNUMBER(SEARCH(TRIM(Keywords!$A$2:$A$16),A920)))&gt;0,
        SUMPRODUCT(--ISNUMBER(SEARCH(TRIM(Keywords!$B$2:$B$14),A920)))&gt;0),"Neutral",
IF(SUMPRODUCT(--ISNUMBER(SEARCH(TRIM(Keywords!$A$2:$A$16),A920)))&gt;0,"Positive",
IF(SUMPRODUCT(--ISNUMBER(SEARCH(TRIM(Keywords!$A$2:$B$14),A920)))&gt;0,"Negative","Neutral")))</f>
        <v>Neutral</v>
      </c>
    </row>
    <row r="921" spans="1:3" x14ac:dyDescent="0.25">
      <c r="A921" t="s">
        <v>515</v>
      </c>
      <c r="B921">
        <v>5</v>
      </c>
      <c r="C921" t="str">
        <f>IF(AND(SUMPRODUCT(--ISNUMBER(SEARCH(TRIM(Keywords!$A$2:$A$16),A921)))&gt;0,
        SUMPRODUCT(--ISNUMBER(SEARCH(TRIM(Keywords!$B$2:$B$14),A921)))&gt;0),"Neutral",
IF(SUMPRODUCT(--ISNUMBER(SEARCH(TRIM(Keywords!$A$2:$A$16),A921)))&gt;0,"Positive",
IF(SUMPRODUCT(--ISNUMBER(SEARCH(TRIM(Keywords!$A$2:$B$14),A921)))&gt;0,"Negative","Neutral")))</f>
        <v>Neutral</v>
      </c>
    </row>
    <row r="922" spans="1:3" x14ac:dyDescent="0.25">
      <c r="A922" t="s">
        <v>516</v>
      </c>
      <c r="B922">
        <v>5</v>
      </c>
      <c r="C922" t="str">
        <f>IF(AND(SUMPRODUCT(--ISNUMBER(SEARCH(TRIM(Keywords!$A$2:$A$16),A922)))&gt;0,
        SUMPRODUCT(--ISNUMBER(SEARCH(TRIM(Keywords!$B$2:$B$14),A922)))&gt;0),"Neutral",
IF(SUMPRODUCT(--ISNUMBER(SEARCH(TRIM(Keywords!$A$2:$A$16),A922)))&gt;0,"Positive",
IF(SUMPRODUCT(--ISNUMBER(SEARCH(TRIM(Keywords!$A$2:$B$14),A922)))&gt;0,"Negative","Neutral")))</f>
        <v>Neutral</v>
      </c>
    </row>
    <row r="923" spans="1:3" x14ac:dyDescent="0.25">
      <c r="A923" t="s">
        <v>36</v>
      </c>
      <c r="B923">
        <v>5</v>
      </c>
      <c r="C923" t="str">
        <f>IF(AND(SUMPRODUCT(--ISNUMBER(SEARCH(TRIM(Keywords!$A$2:$A$16),A923)))&gt;0,
        SUMPRODUCT(--ISNUMBER(SEARCH(TRIM(Keywords!$B$2:$B$14),A923)))&gt;0),"Neutral",
IF(SUMPRODUCT(--ISNUMBER(SEARCH(TRIM(Keywords!$A$2:$A$16),A923)))&gt;0,"Positive",
IF(SUMPRODUCT(--ISNUMBER(SEARCH(TRIM(Keywords!$A$2:$B$14),A923)))&gt;0,"Negative","Neutral")))</f>
        <v>Neutral</v>
      </c>
    </row>
    <row r="924" spans="1:3" hidden="1" x14ac:dyDescent="0.25">
      <c r="A924" t="s">
        <v>517</v>
      </c>
      <c r="B924">
        <v>1</v>
      </c>
      <c r="C924" t="str">
        <f>IF(AND(SUMPRODUCT(--ISNUMBER(SEARCH(TRIM(Keywords!$A$2:$A$16),A924)))&gt;0,
        SUMPRODUCT(--ISNUMBER(SEARCH(TRIM(Keywords!$B$2:$B$14),A924)))&gt;0),"Neutral",
IF(SUMPRODUCT(--ISNUMBER(SEARCH(TRIM(Keywords!$A$2:$A$16),A924)))&gt;0,"Positive",
IF(SUMPRODUCT(--ISNUMBER(SEARCH(TRIM(Keywords!$A$2:$B$14),A924)))&gt;0,"Negative","Neutral")))</f>
        <v>Negative</v>
      </c>
    </row>
    <row r="925" spans="1:3" hidden="1" x14ac:dyDescent="0.25">
      <c r="A925" t="s">
        <v>77</v>
      </c>
      <c r="B925">
        <v>5</v>
      </c>
      <c r="C925" t="str">
        <f>IF(AND(SUMPRODUCT(--ISNUMBER(SEARCH(TRIM(Keywords!$A$2:$A$16),A925)))&gt;0,
        SUMPRODUCT(--ISNUMBER(SEARCH(TRIM(Keywords!$B$2:$B$14),A925)))&gt;0),"Neutral",
IF(SUMPRODUCT(--ISNUMBER(SEARCH(TRIM(Keywords!$A$2:$A$16),A925)))&gt;0,"Positive",
IF(SUMPRODUCT(--ISNUMBER(SEARCH(TRIM(Keywords!$A$2:$B$14),A925)))&gt;0,"Negative","Neutral")))</f>
        <v>Positive</v>
      </c>
    </row>
    <row r="926" spans="1:3" hidden="1" x14ac:dyDescent="0.25">
      <c r="A926" t="s">
        <v>2</v>
      </c>
      <c r="B926">
        <v>5</v>
      </c>
      <c r="C926" t="str">
        <f>IF(AND(SUMPRODUCT(--ISNUMBER(SEARCH(TRIM(Keywords!$A$2:$A$16),A926)))&gt;0,
        SUMPRODUCT(--ISNUMBER(SEARCH(TRIM(Keywords!$B$2:$B$14),A926)))&gt;0),"Neutral",
IF(SUMPRODUCT(--ISNUMBER(SEARCH(TRIM(Keywords!$A$2:$A$16),A926)))&gt;0,"Positive",
IF(SUMPRODUCT(--ISNUMBER(SEARCH(TRIM(Keywords!$A$2:$B$14),A926)))&gt;0,"Negative","Neutral")))</f>
        <v>Positive</v>
      </c>
    </row>
    <row r="927" spans="1:3" hidden="1" x14ac:dyDescent="0.25">
      <c r="A927" t="s">
        <v>518</v>
      </c>
      <c r="B927">
        <v>4</v>
      </c>
      <c r="C927" t="str">
        <f>IF(AND(SUMPRODUCT(--ISNUMBER(SEARCH(TRIM(Keywords!$A$2:$A$16),A927)))&gt;0,
        SUMPRODUCT(--ISNUMBER(SEARCH(TRIM(Keywords!$B$2:$B$14),A927)))&gt;0),"Neutral",
IF(SUMPRODUCT(--ISNUMBER(SEARCH(TRIM(Keywords!$A$2:$A$16),A927)))&gt;0,"Positive",
IF(SUMPRODUCT(--ISNUMBER(SEARCH(TRIM(Keywords!$A$2:$B$14),A927)))&gt;0,"Negative","Neutral")))</f>
        <v>Positive</v>
      </c>
    </row>
    <row r="928" spans="1:3" hidden="1" x14ac:dyDescent="0.25">
      <c r="A928" t="s">
        <v>2</v>
      </c>
      <c r="B928">
        <v>5</v>
      </c>
      <c r="C928" t="str">
        <f>IF(AND(SUMPRODUCT(--ISNUMBER(SEARCH(TRIM(Keywords!$A$2:$A$16),A928)))&gt;0,
        SUMPRODUCT(--ISNUMBER(SEARCH(TRIM(Keywords!$B$2:$B$14),A928)))&gt;0),"Neutral",
IF(SUMPRODUCT(--ISNUMBER(SEARCH(TRIM(Keywords!$A$2:$A$16),A928)))&gt;0,"Positive",
IF(SUMPRODUCT(--ISNUMBER(SEARCH(TRIM(Keywords!$A$2:$B$14),A928)))&gt;0,"Negative","Neutral")))</f>
        <v>Positive</v>
      </c>
    </row>
    <row r="929" spans="1:3" hidden="1" x14ac:dyDescent="0.25">
      <c r="A929" t="s">
        <v>519</v>
      </c>
      <c r="B929">
        <v>5</v>
      </c>
      <c r="C929" t="str">
        <f>IF(AND(SUMPRODUCT(--ISNUMBER(SEARCH(TRIM(Keywords!$A$2:$A$16),A929)))&gt;0,
        SUMPRODUCT(--ISNUMBER(SEARCH(TRIM(Keywords!$B$2:$B$14),A929)))&gt;0),"Neutral",
IF(SUMPRODUCT(--ISNUMBER(SEARCH(TRIM(Keywords!$A$2:$A$16),A929)))&gt;0,"Positive",
IF(SUMPRODUCT(--ISNUMBER(SEARCH(TRIM(Keywords!$A$2:$B$14),A929)))&gt;0,"Negative","Neutral")))</f>
        <v>Positive</v>
      </c>
    </row>
    <row r="930" spans="1:3" x14ac:dyDescent="0.25">
      <c r="A930" t="s">
        <v>520</v>
      </c>
      <c r="B930">
        <v>4</v>
      </c>
      <c r="C930" t="str">
        <f>IF(AND(SUMPRODUCT(--ISNUMBER(SEARCH(TRIM(Keywords!$A$2:$A$16),A930)))&gt;0,
        SUMPRODUCT(--ISNUMBER(SEARCH(TRIM(Keywords!$B$2:$B$14),A930)))&gt;0),"Neutral",
IF(SUMPRODUCT(--ISNUMBER(SEARCH(TRIM(Keywords!$A$2:$A$16),A930)))&gt;0,"Positive",
IF(SUMPRODUCT(--ISNUMBER(SEARCH(TRIM(Keywords!$A$2:$B$14),A930)))&gt;0,"Negative","Neutral")))</f>
        <v>Neutral</v>
      </c>
    </row>
    <row r="931" spans="1:3" hidden="1" x14ac:dyDescent="0.25">
      <c r="A931" t="s">
        <v>39</v>
      </c>
      <c r="B931">
        <v>5</v>
      </c>
      <c r="C931" t="str">
        <f>IF(AND(SUMPRODUCT(--ISNUMBER(SEARCH(TRIM(Keywords!$A$2:$A$16),A931)))&gt;0,
        SUMPRODUCT(--ISNUMBER(SEARCH(TRIM(Keywords!$B$2:$B$14),A931)))&gt;0),"Neutral",
IF(SUMPRODUCT(--ISNUMBER(SEARCH(TRIM(Keywords!$A$2:$A$16),A931)))&gt;0,"Positive",
IF(SUMPRODUCT(--ISNUMBER(SEARCH(TRIM(Keywords!$A$2:$B$14),A931)))&gt;0,"Negative","Neutral")))</f>
        <v>Positive</v>
      </c>
    </row>
    <row r="932" spans="1:3" x14ac:dyDescent="0.25">
      <c r="A932" t="s">
        <v>521</v>
      </c>
      <c r="B932">
        <v>5</v>
      </c>
      <c r="C932" t="str">
        <f>IF(AND(SUMPRODUCT(--ISNUMBER(SEARCH(TRIM(Keywords!$A$2:$A$16),A932)))&gt;0,
        SUMPRODUCT(--ISNUMBER(SEARCH(TRIM(Keywords!$B$2:$B$14),A932)))&gt;0),"Neutral",
IF(SUMPRODUCT(--ISNUMBER(SEARCH(TRIM(Keywords!$A$2:$A$16),A932)))&gt;0,"Positive",
IF(SUMPRODUCT(--ISNUMBER(SEARCH(TRIM(Keywords!$A$2:$B$14),A932)))&gt;0,"Negative","Neutral")))</f>
        <v>Neutral</v>
      </c>
    </row>
    <row r="933" spans="1:3" x14ac:dyDescent="0.25">
      <c r="A933" t="s">
        <v>522</v>
      </c>
      <c r="B933">
        <v>5</v>
      </c>
      <c r="C933" t="str">
        <f>IF(AND(SUMPRODUCT(--ISNUMBER(SEARCH(TRIM(Keywords!$A$2:$A$16),A933)))&gt;0,
        SUMPRODUCT(--ISNUMBER(SEARCH(TRIM(Keywords!$B$2:$B$14),A933)))&gt;0),"Neutral",
IF(SUMPRODUCT(--ISNUMBER(SEARCH(TRIM(Keywords!$A$2:$A$16),A933)))&gt;0,"Positive",
IF(SUMPRODUCT(--ISNUMBER(SEARCH(TRIM(Keywords!$A$2:$B$14),A933)))&gt;0,"Negative","Neutral")))</f>
        <v>Neutral</v>
      </c>
    </row>
    <row r="934" spans="1:3" hidden="1" x14ac:dyDescent="0.25">
      <c r="A934" t="s">
        <v>523</v>
      </c>
      <c r="B934">
        <v>3</v>
      </c>
      <c r="C934" t="str">
        <f>IF(AND(SUMPRODUCT(--ISNUMBER(SEARCH(TRIM(Keywords!$A$2:$A$16),A934)))&gt;0,
        SUMPRODUCT(--ISNUMBER(SEARCH(TRIM(Keywords!$B$2:$B$14),A934)))&gt;0),"Neutral",
IF(SUMPRODUCT(--ISNUMBER(SEARCH(TRIM(Keywords!$A$2:$A$16),A934)))&gt;0,"Positive",
IF(SUMPRODUCT(--ISNUMBER(SEARCH(TRIM(Keywords!$A$2:$B$14),A934)))&gt;0,"Negative","Neutral")))</f>
        <v>Negative</v>
      </c>
    </row>
    <row r="935" spans="1:3" hidden="1" x14ac:dyDescent="0.25">
      <c r="A935" t="s">
        <v>2</v>
      </c>
      <c r="B935">
        <v>5</v>
      </c>
      <c r="C935" t="str">
        <f>IF(AND(SUMPRODUCT(--ISNUMBER(SEARCH(TRIM(Keywords!$A$2:$A$16),A935)))&gt;0,
        SUMPRODUCT(--ISNUMBER(SEARCH(TRIM(Keywords!$B$2:$B$14),A935)))&gt;0),"Neutral",
IF(SUMPRODUCT(--ISNUMBER(SEARCH(TRIM(Keywords!$A$2:$A$16),A935)))&gt;0,"Positive",
IF(SUMPRODUCT(--ISNUMBER(SEARCH(TRIM(Keywords!$A$2:$B$14),A935)))&gt;0,"Negative","Neutral")))</f>
        <v>Positive</v>
      </c>
    </row>
    <row r="936" spans="1:3" hidden="1" x14ac:dyDescent="0.25">
      <c r="A936" t="s">
        <v>524</v>
      </c>
      <c r="B936">
        <v>3</v>
      </c>
      <c r="C936" t="str">
        <f>IF(AND(SUMPRODUCT(--ISNUMBER(SEARCH(TRIM(Keywords!$A$2:$A$16),A936)))&gt;0,
        SUMPRODUCT(--ISNUMBER(SEARCH(TRIM(Keywords!$B$2:$B$14),A936)))&gt;0),"Neutral",
IF(SUMPRODUCT(--ISNUMBER(SEARCH(TRIM(Keywords!$A$2:$A$16),A936)))&gt;0,"Positive",
IF(SUMPRODUCT(--ISNUMBER(SEARCH(TRIM(Keywords!$A$2:$B$14),A936)))&gt;0,"Negative","Neutral")))</f>
        <v>Positive</v>
      </c>
    </row>
    <row r="937" spans="1:3" hidden="1" x14ac:dyDescent="0.25">
      <c r="A937" t="s">
        <v>525</v>
      </c>
      <c r="B937">
        <v>5</v>
      </c>
      <c r="C937" t="str">
        <f>IF(AND(SUMPRODUCT(--ISNUMBER(SEARCH(TRIM(Keywords!$A$2:$A$16),A937)))&gt;0,
        SUMPRODUCT(--ISNUMBER(SEARCH(TRIM(Keywords!$B$2:$B$14),A937)))&gt;0),"Neutral",
IF(SUMPRODUCT(--ISNUMBER(SEARCH(TRIM(Keywords!$A$2:$A$16),A937)))&gt;0,"Positive",
IF(SUMPRODUCT(--ISNUMBER(SEARCH(TRIM(Keywords!$A$2:$B$14),A937)))&gt;0,"Negative","Neutral")))</f>
        <v>Positive</v>
      </c>
    </row>
    <row r="938" spans="1:3" x14ac:dyDescent="0.25">
      <c r="A938" t="s">
        <v>526</v>
      </c>
      <c r="B938">
        <v>5</v>
      </c>
      <c r="C938" t="str">
        <f>IF(AND(SUMPRODUCT(--ISNUMBER(SEARCH(TRIM(Keywords!$A$2:$A$16),A938)))&gt;0,
        SUMPRODUCT(--ISNUMBER(SEARCH(TRIM(Keywords!$B$2:$B$14),A938)))&gt;0),"Neutral",
IF(SUMPRODUCT(--ISNUMBER(SEARCH(TRIM(Keywords!$A$2:$A$16),A938)))&gt;0,"Positive",
IF(SUMPRODUCT(--ISNUMBER(SEARCH(TRIM(Keywords!$A$2:$B$14),A938)))&gt;0,"Negative","Neutral")))</f>
        <v>Neutral</v>
      </c>
    </row>
    <row r="939" spans="1:3" hidden="1" x14ac:dyDescent="0.25">
      <c r="A939" t="s">
        <v>527</v>
      </c>
      <c r="B939">
        <v>1</v>
      </c>
      <c r="C939" t="str">
        <f>IF(AND(SUMPRODUCT(--ISNUMBER(SEARCH(TRIM(Keywords!$A$2:$A$16),A939)))&gt;0,
        SUMPRODUCT(--ISNUMBER(SEARCH(TRIM(Keywords!$B$2:$B$14),A939)))&gt;0),"Neutral",
IF(SUMPRODUCT(--ISNUMBER(SEARCH(TRIM(Keywords!$A$2:$A$16),A939)))&gt;0,"Positive",
IF(SUMPRODUCT(--ISNUMBER(SEARCH(TRIM(Keywords!$A$2:$B$14),A939)))&gt;0,"Negative","Neutral")))</f>
        <v>Negative</v>
      </c>
    </row>
    <row r="940" spans="1:3" hidden="1" x14ac:dyDescent="0.25">
      <c r="A940" t="s">
        <v>38</v>
      </c>
      <c r="B940">
        <v>5</v>
      </c>
      <c r="C940" t="str">
        <f>IF(AND(SUMPRODUCT(--ISNUMBER(SEARCH(TRIM(Keywords!$A$2:$A$16),A940)))&gt;0,
        SUMPRODUCT(--ISNUMBER(SEARCH(TRIM(Keywords!$B$2:$B$14),A940)))&gt;0),"Neutral",
IF(SUMPRODUCT(--ISNUMBER(SEARCH(TRIM(Keywords!$A$2:$A$16),A940)))&gt;0,"Positive",
IF(SUMPRODUCT(--ISNUMBER(SEARCH(TRIM(Keywords!$A$2:$B$14),A940)))&gt;0,"Negative","Neutral")))</f>
        <v>Positive</v>
      </c>
    </row>
    <row r="941" spans="1:3" x14ac:dyDescent="0.25">
      <c r="A941" t="s">
        <v>34</v>
      </c>
      <c r="B941">
        <v>5</v>
      </c>
      <c r="C941" t="str">
        <f>IF(AND(SUMPRODUCT(--ISNUMBER(SEARCH(TRIM(Keywords!$A$2:$A$16),A941)))&gt;0,
        SUMPRODUCT(--ISNUMBER(SEARCH(TRIM(Keywords!$B$2:$B$14),A941)))&gt;0),"Neutral",
IF(SUMPRODUCT(--ISNUMBER(SEARCH(TRIM(Keywords!$A$2:$A$16),A941)))&gt;0,"Positive",
IF(SUMPRODUCT(--ISNUMBER(SEARCH(TRIM(Keywords!$A$2:$B$14),A941)))&gt;0,"Negative","Neutral")))</f>
        <v>Neutral</v>
      </c>
    </row>
    <row r="942" spans="1:3" hidden="1" x14ac:dyDescent="0.25">
      <c r="A942" t="s">
        <v>528</v>
      </c>
      <c r="B942">
        <v>5</v>
      </c>
      <c r="C942" t="str">
        <f>IF(AND(SUMPRODUCT(--ISNUMBER(SEARCH(TRIM(Keywords!$A$2:$A$16),A942)))&gt;0,
        SUMPRODUCT(--ISNUMBER(SEARCH(TRIM(Keywords!$B$2:$B$14),A942)))&gt;0),"Neutral",
IF(SUMPRODUCT(--ISNUMBER(SEARCH(TRIM(Keywords!$A$2:$A$16),A942)))&gt;0,"Positive",
IF(SUMPRODUCT(--ISNUMBER(SEARCH(TRIM(Keywords!$A$2:$B$14),A942)))&gt;0,"Negative","Neutral")))</f>
        <v>Positive</v>
      </c>
    </row>
    <row r="943" spans="1:3" x14ac:dyDescent="0.25">
      <c r="A943" t="s">
        <v>529</v>
      </c>
      <c r="B943">
        <v>5</v>
      </c>
      <c r="C943" t="str">
        <f>IF(AND(SUMPRODUCT(--ISNUMBER(SEARCH(TRIM(Keywords!$A$2:$A$16),A943)))&gt;0,
        SUMPRODUCT(--ISNUMBER(SEARCH(TRIM(Keywords!$B$2:$B$14),A943)))&gt;0),"Neutral",
IF(SUMPRODUCT(--ISNUMBER(SEARCH(TRIM(Keywords!$A$2:$A$16),A943)))&gt;0,"Positive",
IF(SUMPRODUCT(--ISNUMBER(SEARCH(TRIM(Keywords!$A$2:$B$14),A943)))&gt;0,"Negative","Neutral")))</f>
        <v>Neutral</v>
      </c>
    </row>
    <row r="944" spans="1:3" hidden="1" x14ac:dyDescent="0.25">
      <c r="A944" t="s">
        <v>2</v>
      </c>
      <c r="B944">
        <v>5</v>
      </c>
      <c r="C944" t="str">
        <f>IF(AND(SUMPRODUCT(--ISNUMBER(SEARCH(TRIM(Keywords!$A$2:$A$16),A944)))&gt;0,
        SUMPRODUCT(--ISNUMBER(SEARCH(TRIM(Keywords!$B$2:$B$14),A944)))&gt;0),"Neutral",
IF(SUMPRODUCT(--ISNUMBER(SEARCH(TRIM(Keywords!$A$2:$A$16),A944)))&gt;0,"Positive",
IF(SUMPRODUCT(--ISNUMBER(SEARCH(TRIM(Keywords!$A$2:$B$14),A944)))&gt;0,"Negative","Neutral")))</f>
        <v>Positive</v>
      </c>
    </row>
    <row r="945" spans="1:3" x14ac:dyDescent="0.25">
      <c r="A945" t="s">
        <v>36</v>
      </c>
      <c r="B945">
        <v>5</v>
      </c>
      <c r="C945" t="str">
        <f>IF(AND(SUMPRODUCT(--ISNUMBER(SEARCH(TRIM(Keywords!$A$2:$A$16),A945)))&gt;0,
        SUMPRODUCT(--ISNUMBER(SEARCH(TRIM(Keywords!$B$2:$B$14),A945)))&gt;0),"Neutral",
IF(SUMPRODUCT(--ISNUMBER(SEARCH(TRIM(Keywords!$A$2:$A$16),A945)))&gt;0,"Positive",
IF(SUMPRODUCT(--ISNUMBER(SEARCH(TRIM(Keywords!$A$2:$B$14),A945)))&gt;0,"Negative","Neutral")))</f>
        <v>Neutral</v>
      </c>
    </row>
    <row r="946" spans="1:3" x14ac:dyDescent="0.25">
      <c r="A946" t="s">
        <v>64</v>
      </c>
      <c r="B946">
        <v>5</v>
      </c>
      <c r="C946" t="str">
        <f>IF(AND(SUMPRODUCT(--ISNUMBER(SEARCH(TRIM(Keywords!$A$2:$A$16),A946)))&gt;0,
        SUMPRODUCT(--ISNUMBER(SEARCH(TRIM(Keywords!$B$2:$B$14),A946)))&gt;0),"Neutral",
IF(SUMPRODUCT(--ISNUMBER(SEARCH(TRIM(Keywords!$A$2:$A$16),A946)))&gt;0,"Positive",
IF(SUMPRODUCT(--ISNUMBER(SEARCH(TRIM(Keywords!$A$2:$B$14),A946)))&gt;0,"Negative","Neutral")))</f>
        <v>Neutral</v>
      </c>
    </row>
    <row r="947" spans="1:3" hidden="1" x14ac:dyDescent="0.25">
      <c r="A947" t="s">
        <v>530</v>
      </c>
      <c r="B947">
        <v>1</v>
      </c>
      <c r="C947" t="str">
        <f>IF(AND(SUMPRODUCT(--ISNUMBER(SEARCH(TRIM(Keywords!$A$2:$A$16),A947)))&gt;0,
        SUMPRODUCT(--ISNUMBER(SEARCH(TRIM(Keywords!$B$2:$B$14),A947)))&gt;0),"Neutral",
IF(SUMPRODUCT(--ISNUMBER(SEARCH(TRIM(Keywords!$A$2:$A$16),A947)))&gt;0,"Positive",
IF(SUMPRODUCT(--ISNUMBER(SEARCH(TRIM(Keywords!$A$2:$B$14),A947)))&gt;0,"Negative","Neutral")))</f>
        <v>Negative</v>
      </c>
    </row>
    <row r="948" spans="1:3" x14ac:dyDescent="0.25">
      <c r="A948" t="s">
        <v>531</v>
      </c>
      <c r="B948">
        <v>5</v>
      </c>
      <c r="C948" t="str">
        <f>IF(AND(SUMPRODUCT(--ISNUMBER(SEARCH(TRIM(Keywords!$A$2:$A$16),A948)))&gt;0,
        SUMPRODUCT(--ISNUMBER(SEARCH(TRIM(Keywords!$B$2:$B$14),A948)))&gt;0),"Neutral",
IF(SUMPRODUCT(--ISNUMBER(SEARCH(TRIM(Keywords!$A$2:$A$16),A948)))&gt;0,"Positive",
IF(SUMPRODUCT(--ISNUMBER(SEARCH(TRIM(Keywords!$A$2:$B$14),A948)))&gt;0,"Negative","Neutral")))</f>
        <v>Neutral</v>
      </c>
    </row>
    <row r="949" spans="1:3" hidden="1" x14ac:dyDescent="0.25">
      <c r="A949" t="s">
        <v>2</v>
      </c>
      <c r="B949">
        <v>5</v>
      </c>
      <c r="C949" t="str">
        <f>IF(AND(SUMPRODUCT(--ISNUMBER(SEARCH(TRIM(Keywords!$A$2:$A$16),A949)))&gt;0,
        SUMPRODUCT(--ISNUMBER(SEARCH(TRIM(Keywords!$B$2:$B$14),A949)))&gt;0),"Neutral",
IF(SUMPRODUCT(--ISNUMBER(SEARCH(TRIM(Keywords!$A$2:$A$16),A949)))&gt;0,"Positive",
IF(SUMPRODUCT(--ISNUMBER(SEARCH(TRIM(Keywords!$A$2:$B$14),A949)))&gt;0,"Negative","Neutral")))</f>
        <v>Positive</v>
      </c>
    </row>
    <row r="950" spans="1:3" hidden="1" x14ac:dyDescent="0.25">
      <c r="A950" t="s">
        <v>532</v>
      </c>
      <c r="B950">
        <v>4</v>
      </c>
      <c r="C950" t="str">
        <f>IF(AND(SUMPRODUCT(--ISNUMBER(SEARCH(TRIM(Keywords!$A$2:$A$16),A950)))&gt;0,
        SUMPRODUCT(--ISNUMBER(SEARCH(TRIM(Keywords!$B$2:$B$14),A950)))&gt;0),"Neutral",
IF(SUMPRODUCT(--ISNUMBER(SEARCH(TRIM(Keywords!$A$2:$A$16),A950)))&gt;0,"Positive",
IF(SUMPRODUCT(--ISNUMBER(SEARCH(TRIM(Keywords!$A$2:$B$14),A950)))&gt;0,"Negative","Neutral")))</f>
        <v>Positive</v>
      </c>
    </row>
    <row r="951" spans="1:3" hidden="1" x14ac:dyDescent="0.25">
      <c r="A951" t="s">
        <v>533</v>
      </c>
      <c r="B951">
        <v>5</v>
      </c>
      <c r="C951" t="str">
        <f>IF(AND(SUMPRODUCT(--ISNUMBER(SEARCH(TRIM(Keywords!$A$2:$A$16),A951)))&gt;0,
        SUMPRODUCT(--ISNUMBER(SEARCH(TRIM(Keywords!$B$2:$B$14),A951)))&gt;0),"Neutral",
IF(SUMPRODUCT(--ISNUMBER(SEARCH(TRIM(Keywords!$A$2:$A$16),A951)))&gt;0,"Positive",
IF(SUMPRODUCT(--ISNUMBER(SEARCH(TRIM(Keywords!$A$2:$B$14),A951)))&gt;0,"Negative","Neutral")))</f>
        <v>Positive</v>
      </c>
    </row>
    <row r="952" spans="1:3" hidden="1" x14ac:dyDescent="0.25">
      <c r="A952" t="s">
        <v>50</v>
      </c>
      <c r="B952">
        <v>5</v>
      </c>
      <c r="C952" t="str">
        <f>IF(AND(SUMPRODUCT(--ISNUMBER(SEARCH(TRIM(Keywords!$A$2:$A$16),A952)))&gt;0,
        SUMPRODUCT(--ISNUMBER(SEARCH(TRIM(Keywords!$B$2:$B$14),A952)))&gt;0),"Neutral",
IF(SUMPRODUCT(--ISNUMBER(SEARCH(TRIM(Keywords!$A$2:$A$16),A952)))&gt;0,"Positive",
IF(SUMPRODUCT(--ISNUMBER(SEARCH(TRIM(Keywords!$A$2:$B$14),A952)))&gt;0,"Negative","Neutral")))</f>
        <v>Positive</v>
      </c>
    </row>
    <row r="953" spans="1:3" hidden="1" x14ac:dyDescent="0.25">
      <c r="A953" t="s">
        <v>534</v>
      </c>
      <c r="B953">
        <v>5</v>
      </c>
      <c r="C953" t="str">
        <f>IF(AND(SUMPRODUCT(--ISNUMBER(SEARCH(TRIM(Keywords!$A$2:$A$16),A953)))&gt;0,
        SUMPRODUCT(--ISNUMBER(SEARCH(TRIM(Keywords!$B$2:$B$14),A953)))&gt;0),"Neutral",
IF(SUMPRODUCT(--ISNUMBER(SEARCH(TRIM(Keywords!$A$2:$A$16),A953)))&gt;0,"Positive",
IF(SUMPRODUCT(--ISNUMBER(SEARCH(TRIM(Keywords!$A$2:$B$14),A953)))&gt;0,"Negative","Neutral")))</f>
        <v>Positive</v>
      </c>
    </row>
    <row r="954" spans="1:3" hidden="1" x14ac:dyDescent="0.25">
      <c r="A954" t="s">
        <v>230</v>
      </c>
      <c r="B954">
        <v>5</v>
      </c>
      <c r="C954" t="str">
        <f>IF(AND(SUMPRODUCT(--ISNUMBER(SEARCH(TRIM(Keywords!$A$2:$A$16),A954)))&gt;0,
        SUMPRODUCT(--ISNUMBER(SEARCH(TRIM(Keywords!$B$2:$B$14),A954)))&gt;0),"Neutral",
IF(SUMPRODUCT(--ISNUMBER(SEARCH(TRIM(Keywords!$A$2:$A$16),A954)))&gt;0,"Positive",
IF(SUMPRODUCT(--ISNUMBER(SEARCH(TRIM(Keywords!$A$2:$B$14),A954)))&gt;0,"Negative","Neutral")))</f>
        <v>Positive</v>
      </c>
    </row>
    <row r="955" spans="1:3" x14ac:dyDescent="0.25">
      <c r="A955" t="s">
        <v>535</v>
      </c>
      <c r="B955">
        <v>5</v>
      </c>
      <c r="C955" t="str">
        <f>IF(AND(SUMPRODUCT(--ISNUMBER(SEARCH(TRIM(Keywords!$A$2:$A$16),A955)))&gt;0,
        SUMPRODUCT(--ISNUMBER(SEARCH(TRIM(Keywords!$B$2:$B$14),A955)))&gt;0),"Neutral",
IF(SUMPRODUCT(--ISNUMBER(SEARCH(TRIM(Keywords!$A$2:$A$16),A955)))&gt;0,"Positive",
IF(SUMPRODUCT(--ISNUMBER(SEARCH(TRIM(Keywords!$A$2:$B$14),A955)))&gt;0,"Negative","Neutral")))</f>
        <v>Neutral</v>
      </c>
    </row>
    <row r="956" spans="1:3" hidden="1" x14ac:dyDescent="0.25">
      <c r="A956" t="s">
        <v>536</v>
      </c>
      <c r="B956">
        <v>5</v>
      </c>
      <c r="C956" t="str">
        <f>IF(AND(SUMPRODUCT(--ISNUMBER(SEARCH(TRIM(Keywords!$A$2:$A$16),A956)))&gt;0,
        SUMPRODUCT(--ISNUMBER(SEARCH(TRIM(Keywords!$B$2:$B$14),A956)))&gt;0),"Neutral",
IF(SUMPRODUCT(--ISNUMBER(SEARCH(TRIM(Keywords!$A$2:$A$16),A956)))&gt;0,"Positive",
IF(SUMPRODUCT(--ISNUMBER(SEARCH(TRIM(Keywords!$A$2:$B$14),A956)))&gt;0,"Negative","Neutral")))</f>
        <v>Positive</v>
      </c>
    </row>
    <row r="957" spans="1:3" hidden="1" x14ac:dyDescent="0.25">
      <c r="A957" t="s">
        <v>2</v>
      </c>
      <c r="B957">
        <v>5</v>
      </c>
      <c r="C957" t="str">
        <f>IF(AND(SUMPRODUCT(--ISNUMBER(SEARCH(TRIM(Keywords!$A$2:$A$16),A957)))&gt;0,
        SUMPRODUCT(--ISNUMBER(SEARCH(TRIM(Keywords!$B$2:$B$14),A957)))&gt;0),"Neutral",
IF(SUMPRODUCT(--ISNUMBER(SEARCH(TRIM(Keywords!$A$2:$A$16),A957)))&gt;0,"Positive",
IF(SUMPRODUCT(--ISNUMBER(SEARCH(TRIM(Keywords!$A$2:$B$14),A957)))&gt;0,"Negative","Neutral")))</f>
        <v>Positive</v>
      </c>
    </row>
    <row r="958" spans="1:3" x14ac:dyDescent="0.25">
      <c r="A958" t="s">
        <v>537</v>
      </c>
      <c r="B958">
        <v>5</v>
      </c>
      <c r="C958" t="str">
        <f>IF(AND(SUMPRODUCT(--ISNUMBER(SEARCH(TRIM(Keywords!$A$2:$A$16),A958)))&gt;0,
        SUMPRODUCT(--ISNUMBER(SEARCH(TRIM(Keywords!$B$2:$B$14),A958)))&gt;0),"Neutral",
IF(SUMPRODUCT(--ISNUMBER(SEARCH(TRIM(Keywords!$A$2:$A$16),A958)))&gt;0,"Positive",
IF(SUMPRODUCT(--ISNUMBER(SEARCH(TRIM(Keywords!$A$2:$B$14),A958)))&gt;0,"Negative","Neutral")))</f>
        <v>Neutral</v>
      </c>
    </row>
    <row r="959" spans="1:3" hidden="1" x14ac:dyDescent="0.25">
      <c r="A959" t="s">
        <v>2</v>
      </c>
      <c r="B959">
        <v>5</v>
      </c>
      <c r="C959" t="str">
        <f>IF(AND(SUMPRODUCT(--ISNUMBER(SEARCH(TRIM(Keywords!$A$2:$A$16),A959)))&gt;0,
        SUMPRODUCT(--ISNUMBER(SEARCH(TRIM(Keywords!$B$2:$B$14),A959)))&gt;0),"Neutral",
IF(SUMPRODUCT(--ISNUMBER(SEARCH(TRIM(Keywords!$A$2:$A$16),A959)))&gt;0,"Positive",
IF(SUMPRODUCT(--ISNUMBER(SEARCH(TRIM(Keywords!$A$2:$B$14),A959)))&gt;0,"Negative","Neutral")))</f>
        <v>Positive</v>
      </c>
    </row>
    <row r="960" spans="1:3" x14ac:dyDescent="0.25">
      <c r="A960" t="s">
        <v>538</v>
      </c>
      <c r="B960">
        <v>2</v>
      </c>
      <c r="C960" t="str">
        <f>IF(AND(SUMPRODUCT(--ISNUMBER(SEARCH(TRIM(Keywords!$A$2:$A$16),A960)))&gt;0,
        SUMPRODUCT(--ISNUMBER(SEARCH(TRIM(Keywords!$B$2:$B$14),A960)))&gt;0),"Neutral",
IF(SUMPRODUCT(--ISNUMBER(SEARCH(TRIM(Keywords!$A$2:$A$16),A960)))&gt;0,"Positive",
IF(SUMPRODUCT(--ISNUMBER(SEARCH(TRIM(Keywords!$A$2:$B$14),A960)))&gt;0,"Negative","Neutral")))</f>
        <v>Neutral</v>
      </c>
    </row>
    <row r="961" spans="1:3" x14ac:dyDescent="0.25">
      <c r="A961" t="s">
        <v>64</v>
      </c>
      <c r="B961">
        <v>5</v>
      </c>
      <c r="C961" t="str">
        <f>IF(AND(SUMPRODUCT(--ISNUMBER(SEARCH(TRIM(Keywords!$A$2:$A$16),A961)))&gt;0,
        SUMPRODUCT(--ISNUMBER(SEARCH(TRIM(Keywords!$B$2:$B$14),A961)))&gt;0),"Neutral",
IF(SUMPRODUCT(--ISNUMBER(SEARCH(TRIM(Keywords!$A$2:$A$16),A961)))&gt;0,"Positive",
IF(SUMPRODUCT(--ISNUMBER(SEARCH(TRIM(Keywords!$A$2:$B$14),A961)))&gt;0,"Negative","Neutral")))</f>
        <v>Neutral</v>
      </c>
    </row>
    <row r="962" spans="1:3" hidden="1" x14ac:dyDescent="0.25">
      <c r="A962" t="s">
        <v>2</v>
      </c>
      <c r="B962">
        <v>5</v>
      </c>
      <c r="C962" t="str">
        <f>IF(AND(SUMPRODUCT(--ISNUMBER(SEARCH(TRIM(Keywords!$A$2:$A$16),A962)))&gt;0,
        SUMPRODUCT(--ISNUMBER(SEARCH(TRIM(Keywords!$B$2:$B$14),A962)))&gt;0),"Neutral",
IF(SUMPRODUCT(--ISNUMBER(SEARCH(TRIM(Keywords!$A$2:$A$16),A962)))&gt;0,"Positive",
IF(SUMPRODUCT(--ISNUMBER(SEARCH(TRIM(Keywords!$A$2:$B$14),A962)))&gt;0,"Negative","Neutral")))</f>
        <v>Positive</v>
      </c>
    </row>
    <row r="963" spans="1:3" x14ac:dyDescent="0.25">
      <c r="A963" t="s">
        <v>539</v>
      </c>
      <c r="B963">
        <v>5</v>
      </c>
      <c r="C963" t="str">
        <f>IF(AND(SUMPRODUCT(--ISNUMBER(SEARCH(TRIM(Keywords!$A$2:$A$16),A963)))&gt;0,
        SUMPRODUCT(--ISNUMBER(SEARCH(TRIM(Keywords!$B$2:$B$14),A963)))&gt;0),"Neutral",
IF(SUMPRODUCT(--ISNUMBER(SEARCH(TRIM(Keywords!$A$2:$A$16),A963)))&gt;0,"Positive",
IF(SUMPRODUCT(--ISNUMBER(SEARCH(TRIM(Keywords!$A$2:$B$14),A963)))&gt;0,"Negative","Neutral")))</f>
        <v>Neutral</v>
      </c>
    </row>
    <row r="964" spans="1:3" hidden="1" x14ac:dyDescent="0.25">
      <c r="A964" t="s">
        <v>2</v>
      </c>
      <c r="B964">
        <v>5</v>
      </c>
      <c r="C964" t="str">
        <f>IF(AND(SUMPRODUCT(--ISNUMBER(SEARCH(TRIM(Keywords!$A$2:$A$16),A964)))&gt;0,
        SUMPRODUCT(--ISNUMBER(SEARCH(TRIM(Keywords!$B$2:$B$14),A964)))&gt;0),"Neutral",
IF(SUMPRODUCT(--ISNUMBER(SEARCH(TRIM(Keywords!$A$2:$A$16),A964)))&gt;0,"Positive",
IF(SUMPRODUCT(--ISNUMBER(SEARCH(TRIM(Keywords!$A$2:$B$14),A964)))&gt;0,"Negative","Neutral")))</f>
        <v>Positive</v>
      </c>
    </row>
    <row r="965" spans="1:3" hidden="1" x14ac:dyDescent="0.25">
      <c r="A965" t="s">
        <v>540</v>
      </c>
      <c r="B965">
        <v>5</v>
      </c>
      <c r="C965" t="str">
        <f>IF(AND(SUMPRODUCT(--ISNUMBER(SEARCH(TRIM(Keywords!$A$2:$A$16),A965)))&gt;0,
        SUMPRODUCT(--ISNUMBER(SEARCH(TRIM(Keywords!$B$2:$B$14),A965)))&gt;0),"Neutral",
IF(SUMPRODUCT(--ISNUMBER(SEARCH(TRIM(Keywords!$A$2:$A$16),A965)))&gt;0,"Positive",
IF(SUMPRODUCT(--ISNUMBER(SEARCH(TRIM(Keywords!$A$2:$B$14),A965)))&gt;0,"Negative","Neutral")))</f>
        <v>Positive</v>
      </c>
    </row>
    <row r="966" spans="1:3" x14ac:dyDescent="0.25">
      <c r="A966" t="s">
        <v>541</v>
      </c>
      <c r="B966">
        <v>5</v>
      </c>
      <c r="C966" t="str">
        <f>IF(AND(SUMPRODUCT(--ISNUMBER(SEARCH(TRIM(Keywords!$A$2:$A$16),A966)))&gt;0,
        SUMPRODUCT(--ISNUMBER(SEARCH(TRIM(Keywords!$B$2:$B$14),A966)))&gt;0),"Neutral",
IF(SUMPRODUCT(--ISNUMBER(SEARCH(TRIM(Keywords!$A$2:$A$16),A966)))&gt;0,"Positive",
IF(SUMPRODUCT(--ISNUMBER(SEARCH(TRIM(Keywords!$A$2:$B$14),A966)))&gt;0,"Negative","Neutral")))</f>
        <v>Neutral</v>
      </c>
    </row>
    <row r="967" spans="1:3" hidden="1" x14ac:dyDescent="0.25">
      <c r="A967" t="s">
        <v>39</v>
      </c>
      <c r="B967">
        <v>4</v>
      </c>
      <c r="C967" t="str">
        <f>IF(AND(SUMPRODUCT(--ISNUMBER(SEARCH(TRIM(Keywords!$A$2:$A$16),A967)))&gt;0,
        SUMPRODUCT(--ISNUMBER(SEARCH(TRIM(Keywords!$B$2:$B$14),A967)))&gt;0),"Neutral",
IF(SUMPRODUCT(--ISNUMBER(SEARCH(TRIM(Keywords!$A$2:$A$16),A967)))&gt;0,"Positive",
IF(SUMPRODUCT(--ISNUMBER(SEARCH(TRIM(Keywords!$A$2:$B$14),A967)))&gt;0,"Negative","Neutral")))</f>
        <v>Positive</v>
      </c>
    </row>
    <row r="968" spans="1:3" hidden="1" x14ac:dyDescent="0.25">
      <c r="A968" t="s">
        <v>53</v>
      </c>
      <c r="B968">
        <v>5</v>
      </c>
      <c r="C968" t="str">
        <f>IF(AND(SUMPRODUCT(--ISNUMBER(SEARCH(TRIM(Keywords!$A$2:$A$16),A968)))&gt;0,
        SUMPRODUCT(--ISNUMBER(SEARCH(TRIM(Keywords!$B$2:$B$14),A968)))&gt;0),"Neutral",
IF(SUMPRODUCT(--ISNUMBER(SEARCH(TRIM(Keywords!$A$2:$A$16),A968)))&gt;0,"Positive",
IF(SUMPRODUCT(--ISNUMBER(SEARCH(TRIM(Keywords!$A$2:$B$14),A968)))&gt;0,"Negative","Neutral")))</f>
        <v>Positive</v>
      </c>
    </row>
    <row r="969" spans="1:3" hidden="1" x14ac:dyDescent="0.25">
      <c r="A969" t="s">
        <v>37</v>
      </c>
      <c r="B969">
        <v>5</v>
      </c>
      <c r="C969" t="str">
        <f>IF(AND(SUMPRODUCT(--ISNUMBER(SEARCH(TRIM(Keywords!$A$2:$A$16),A969)))&gt;0,
        SUMPRODUCT(--ISNUMBER(SEARCH(TRIM(Keywords!$B$2:$B$14),A969)))&gt;0),"Neutral",
IF(SUMPRODUCT(--ISNUMBER(SEARCH(TRIM(Keywords!$A$2:$A$16),A969)))&gt;0,"Positive",
IF(SUMPRODUCT(--ISNUMBER(SEARCH(TRIM(Keywords!$A$2:$B$14),A969)))&gt;0,"Negative","Neutral")))</f>
        <v>Positive</v>
      </c>
    </row>
    <row r="970" spans="1:3" x14ac:dyDescent="0.25">
      <c r="A970" t="s">
        <v>195</v>
      </c>
      <c r="B970">
        <v>5</v>
      </c>
      <c r="C970" t="str">
        <f>IF(AND(SUMPRODUCT(--ISNUMBER(SEARCH(TRIM(Keywords!$A$2:$A$16),A970)))&gt;0,
        SUMPRODUCT(--ISNUMBER(SEARCH(TRIM(Keywords!$B$2:$B$14),A970)))&gt;0),"Neutral",
IF(SUMPRODUCT(--ISNUMBER(SEARCH(TRIM(Keywords!$A$2:$A$16),A970)))&gt;0,"Positive",
IF(SUMPRODUCT(--ISNUMBER(SEARCH(TRIM(Keywords!$A$2:$B$14),A970)))&gt;0,"Negative","Neutral")))</f>
        <v>Neutral</v>
      </c>
    </row>
    <row r="971" spans="1:3" hidden="1" x14ac:dyDescent="0.25">
      <c r="A971" t="s">
        <v>542</v>
      </c>
      <c r="B971">
        <v>1</v>
      </c>
      <c r="C971" t="str">
        <f>IF(AND(SUMPRODUCT(--ISNUMBER(SEARCH(TRIM(Keywords!$A$2:$A$16),A971)))&gt;0,
        SUMPRODUCT(--ISNUMBER(SEARCH(TRIM(Keywords!$B$2:$B$14),A971)))&gt;0),"Neutral",
IF(SUMPRODUCT(--ISNUMBER(SEARCH(TRIM(Keywords!$A$2:$A$16),A971)))&gt;0,"Positive",
IF(SUMPRODUCT(--ISNUMBER(SEARCH(TRIM(Keywords!$A$2:$B$14),A971)))&gt;0,"Negative","Neutral")))</f>
        <v>Negative</v>
      </c>
    </row>
    <row r="972" spans="1:3" x14ac:dyDescent="0.25">
      <c r="A972" t="s">
        <v>64</v>
      </c>
      <c r="B972">
        <v>5</v>
      </c>
      <c r="C972" t="str">
        <f>IF(AND(SUMPRODUCT(--ISNUMBER(SEARCH(TRIM(Keywords!$A$2:$A$16),A972)))&gt;0,
        SUMPRODUCT(--ISNUMBER(SEARCH(TRIM(Keywords!$B$2:$B$14),A972)))&gt;0),"Neutral",
IF(SUMPRODUCT(--ISNUMBER(SEARCH(TRIM(Keywords!$A$2:$A$16),A972)))&gt;0,"Positive",
IF(SUMPRODUCT(--ISNUMBER(SEARCH(TRIM(Keywords!$A$2:$B$14),A972)))&gt;0,"Negative","Neutral")))</f>
        <v>Neutral</v>
      </c>
    </row>
    <row r="973" spans="1:3" hidden="1" x14ac:dyDescent="0.25">
      <c r="A973" t="s">
        <v>543</v>
      </c>
      <c r="B973">
        <v>3</v>
      </c>
      <c r="C973" t="str">
        <f>IF(AND(SUMPRODUCT(--ISNUMBER(SEARCH(TRIM(Keywords!$A$2:$A$16),A973)))&gt;0,
        SUMPRODUCT(--ISNUMBER(SEARCH(TRIM(Keywords!$B$2:$B$14),A973)))&gt;0),"Neutral",
IF(SUMPRODUCT(--ISNUMBER(SEARCH(TRIM(Keywords!$A$2:$A$16),A973)))&gt;0,"Positive",
IF(SUMPRODUCT(--ISNUMBER(SEARCH(TRIM(Keywords!$A$2:$B$14),A973)))&gt;0,"Negative","Neutral")))</f>
        <v>Positive</v>
      </c>
    </row>
    <row r="974" spans="1:3" hidden="1" x14ac:dyDescent="0.25">
      <c r="A974" t="s">
        <v>37</v>
      </c>
      <c r="B974">
        <v>5</v>
      </c>
      <c r="C974" t="str">
        <f>IF(AND(SUMPRODUCT(--ISNUMBER(SEARCH(TRIM(Keywords!$A$2:$A$16),A974)))&gt;0,
        SUMPRODUCT(--ISNUMBER(SEARCH(TRIM(Keywords!$B$2:$B$14),A974)))&gt;0),"Neutral",
IF(SUMPRODUCT(--ISNUMBER(SEARCH(TRIM(Keywords!$A$2:$A$16),A974)))&gt;0,"Positive",
IF(SUMPRODUCT(--ISNUMBER(SEARCH(TRIM(Keywords!$A$2:$B$14),A974)))&gt;0,"Negative","Neutral")))</f>
        <v>Positive</v>
      </c>
    </row>
    <row r="975" spans="1:3" hidden="1" x14ac:dyDescent="0.25">
      <c r="A975" t="s">
        <v>544</v>
      </c>
      <c r="B975">
        <v>5</v>
      </c>
      <c r="C975" t="str">
        <f>IF(AND(SUMPRODUCT(--ISNUMBER(SEARCH(TRIM(Keywords!$A$2:$A$16),A975)))&gt;0,
        SUMPRODUCT(--ISNUMBER(SEARCH(TRIM(Keywords!$B$2:$B$14),A975)))&gt;0),"Neutral",
IF(SUMPRODUCT(--ISNUMBER(SEARCH(TRIM(Keywords!$A$2:$A$16),A975)))&gt;0,"Positive",
IF(SUMPRODUCT(--ISNUMBER(SEARCH(TRIM(Keywords!$A$2:$B$14),A975)))&gt;0,"Negative","Neutral")))</f>
        <v>Positive</v>
      </c>
    </row>
    <row r="976" spans="1:3" hidden="1" x14ac:dyDescent="0.25">
      <c r="A976" t="s">
        <v>2</v>
      </c>
      <c r="B976">
        <v>1</v>
      </c>
      <c r="C976" t="str">
        <f>IF(AND(SUMPRODUCT(--ISNUMBER(SEARCH(TRIM(Keywords!$A$2:$A$16),A976)))&gt;0,
        SUMPRODUCT(--ISNUMBER(SEARCH(TRIM(Keywords!$B$2:$B$14),A976)))&gt;0),"Neutral",
IF(SUMPRODUCT(--ISNUMBER(SEARCH(TRIM(Keywords!$A$2:$A$16),A976)))&gt;0,"Positive",
IF(SUMPRODUCT(--ISNUMBER(SEARCH(TRIM(Keywords!$A$2:$B$14),A976)))&gt;0,"Negative","Neutral")))</f>
        <v>Positive</v>
      </c>
    </row>
    <row r="977" spans="1:3" hidden="1" x14ac:dyDescent="0.25">
      <c r="A977" t="s">
        <v>37</v>
      </c>
      <c r="B977">
        <v>5</v>
      </c>
      <c r="C977" t="str">
        <f>IF(AND(SUMPRODUCT(--ISNUMBER(SEARCH(TRIM(Keywords!$A$2:$A$16),A977)))&gt;0,
        SUMPRODUCT(--ISNUMBER(SEARCH(TRIM(Keywords!$B$2:$B$14),A977)))&gt;0),"Neutral",
IF(SUMPRODUCT(--ISNUMBER(SEARCH(TRIM(Keywords!$A$2:$A$16),A977)))&gt;0,"Positive",
IF(SUMPRODUCT(--ISNUMBER(SEARCH(TRIM(Keywords!$A$2:$B$14),A977)))&gt;0,"Negative","Neutral")))</f>
        <v>Positive</v>
      </c>
    </row>
    <row r="978" spans="1:3" x14ac:dyDescent="0.25">
      <c r="A978" t="s">
        <v>545</v>
      </c>
      <c r="B978">
        <v>1</v>
      </c>
      <c r="C978" t="str">
        <f>IF(AND(SUMPRODUCT(--ISNUMBER(SEARCH(TRIM(Keywords!$A$2:$A$16),A978)))&gt;0,
        SUMPRODUCT(--ISNUMBER(SEARCH(TRIM(Keywords!$B$2:$B$14),A978)))&gt;0),"Neutral",
IF(SUMPRODUCT(--ISNUMBER(SEARCH(TRIM(Keywords!$A$2:$A$16),A978)))&gt;0,"Positive",
IF(SUMPRODUCT(--ISNUMBER(SEARCH(TRIM(Keywords!$A$2:$B$14),A978)))&gt;0,"Negative","Neutral")))</f>
        <v>Neutral</v>
      </c>
    </row>
    <row r="979" spans="1:3" hidden="1" x14ac:dyDescent="0.25">
      <c r="A979" t="s">
        <v>10</v>
      </c>
      <c r="B979">
        <v>5</v>
      </c>
      <c r="C979" t="str">
        <f>IF(AND(SUMPRODUCT(--ISNUMBER(SEARCH(TRIM(Keywords!$A$2:$A$16),A979)))&gt;0,
        SUMPRODUCT(--ISNUMBER(SEARCH(TRIM(Keywords!$B$2:$B$14),A979)))&gt;0),"Neutral",
IF(SUMPRODUCT(--ISNUMBER(SEARCH(TRIM(Keywords!$A$2:$A$16),A979)))&gt;0,"Positive",
IF(SUMPRODUCT(--ISNUMBER(SEARCH(TRIM(Keywords!$A$2:$B$14),A979)))&gt;0,"Negative","Neutral")))</f>
        <v>Positive</v>
      </c>
    </row>
    <row r="980" spans="1:3" x14ac:dyDescent="0.25">
      <c r="A980" t="s">
        <v>36</v>
      </c>
      <c r="B980">
        <v>5</v>
      </c>
      <c r="C980" t="str">
        <f>IF(AND(SUMPRODUCT(--ISNUMBER(SEARCH(TRIM(Keywords!$A$2:$A$16),A980)))&gt;0,
        SUMPRODUCT(--ISNUMBER(SEARCH(TRIM(Keywords!$B$2:$B$14),A980)))&gt;0),"Neutral",
IF(SUMPRODUCT(--ISNUMBER(SEARCH(TRIM(Keywords!$A$2:$A$16),A980)))&gt;0,"Positive",
IF(SUMPRODUCT(--ISNUMBER(SEARCH(TRIM(Keywords!$A$2:$B$14),A980)))&gt;0,"Negative","Neutral")))</f>
        <v>Neutral</v>
      </c>
    </row>
    <row r="981" spans="1:3" hidden="1" x14ac:dyDescent="0.25">
      <c r="A981" t="s">
        <v>2</v>
      </c>
      <c r="B981">
        <v>3</v>
      </c>
      <c r="C981" t="str">
        <f>IF(AND(SUMPRODUCT(--ISNUMBER(SEARCH(TRIM(Keywords!$A$2:$A$16),A981)))&gt;0,
        SUMPRODUCT(--ISNUMBER(SEARCH(TRIM(Keywords!$B$2:$B$14),A981)))&gt;0),"Neutral",
IF(SUMPRODUCT(--ISNUMBER(SEARCH(TRIM(Keywords!$A$2:$A$16),A981)))&gt;0,"Positive",
IF(SUMPRODUCT(--ISNUMBER(SEARCH(TRIM(Keywords!$A$2:$B$14),A981)))&gt;0,"Negative","Neutral")))</f>
        <v>Positive</v>
      </c>
    </row>
    <row r="982" spans="1:3" hidden="1" x14ac:dyDescent="0.25">
      <c r="A982" t="s">
        <v>37</v>
      </c>
      <c r="B982">
        <v>5</v>
      </c>
      <c r="C982" t="str">
        <f>IF(AND(SUMPRODUCT(--ISNUMBER(SEARCH(TRIM(Keywords!$A$2:$A$16),A982)))&gt;0,
        SUMPRODUCT(--ISNUMBER(SEARCH(TRIM(Keywords!$B$2:$B$14),A982)))&gt;0),"Neutral",
IF(SUMPRODUCT(--ISNUMBER(SEARCH(TRIM(Keywords!$A$2:$A$16),A982)))&gt;0,"Positive",
IF(SUMPRODUCT(--ISNUMBER(SEARCH(TRIM(Keywords!$A$2:$B$14),A982)))&gt;0,"Negative","Neutral")))</f>
        <v>Positive</v>
      </c>
    </row>
    <row r="983" spans="1:3" x14ac:dyDescent="0.25">
      <c r="A983" t="s">
        <v>546</v>
      </c>
      <c r="B983">
        <v>4</v>
      </c>
      <c r="C983" t="str">
        <f>IF(AND(SUMPRODUCT(--ISNUMBER(SEARCH(TRIM(Keywords!$A$2:$A$16),A983)))&gt;0,
        SUMPRODUCT(--ISNUMBER(SEARCH(TRIM(Keywords!$B$2:$B$14),A983)))&gt;0),"Neutral",
IF(SUMPRODUCT(--ISNUMBER(SEARCH(TRIM(Keywords!$A$2:$A$16),A983)))&gt;0,"Positive",
IF(SUMPRODUCT(--ISNUMBER(SEARCH(TRIM(Keywords!$A$2:$B$14),A983)))&gt;0,"Negative","Neutral")))</f>
        <v>Neutral</v>
      </c>
    </row>
    <row r="984" spans="1:3" hidden="1" x14ac:dyDescent="0.25">
      <c r="A984" t="s">
        <v>547</v>
      </c>
      <c r="B984">
        <v>5</v>
      </c>
      <c r="C984" t="str">
        <f>IF(AND(SUMPRODUCT(--ISNUMBER(SEARCH(TRIM(Keywords!$A$2:$A$16),A984)))&gt;0,
        SUMPRODUCT(--ISNUMBER(SEARCH(TRIM(Keywords!$B$2:$B$14),A984)))&gt;0),"Neutral",
IF(SUMPRODUCT(--ISNUMBER(SEARCH(TRIM(Keywords!$A$2:$A$16),A984)))&gt;0,"Positive",
IF(SUMPRODUCT(--ISNUMBER(SEARCH(TRIM(Keywords!$A$2:$B$14),A984)))&gt;0,"Negative","Neutral")))</f>
        <v>Positive</v>
      </c>
    </row>
    <row r="985" spans="1:3" hidden="1" x14ac:dyDescent="0.25">
      <c r="A985" t="s">
        <v>10</v>
      </c>
      <c r="B985">
        <v>5</v>
      </c>
      <c r="C985" t="str">
        <f>IF(AND(SUMPRODUCT(--ISNUMBER(SEARCH(TRIM(Keywords!$A$2:$A$16),A985)))&gt;0,
        SUMPRODUCT(--ISNUMBER(SEARCH(TRIM(Keywords!$B$2:$B$14),A985)))&gt;0),"Neutral",
IF(SUMPRODUCT(--ISNUMBER(SEARCH(TRIM(Keywords!$A$2:$A$16),A985)))&gt;0,"Positive",
IF(SUMPRODUCT(--ISNUMBER(SEARCH(TRIM(Keywords!$A$2:$B$14),A985)))&gt;0,"Negative","Neutral")))</f>
        <v>Positive</v>
      </c>
    </row>
    <row r="986" spans="1:3" hidden="1" x14ac:dyDescent="0.25">
      <c r="A986" t="s">
        <v>548</v>
      </c>
      <c r="B986">
        <v>3</v>
      </c>
      <c r="C986" t="str">
        <f>IF(AND(SUMPRODUCT(--ISNUMBER(SEARCH(TRIM(Keywords!$A$2:$A$16),A986)))&gt;0,
        SUMPRODUCT(--ISNUMBER(SEARCH(TRIM(Keywords!$B$2:$B$14),A986)))&gt;0),"Neutral",
IF(SUMPRODUCT(--ISNUMBER(SEARCH(TRIM(Keywords!$A$2:$A$16),A986)))&gt;0,"Positive",
IF(SUMPRODUCT(--ISNUMBER(SEARCH(TRIM(Keywords!$A$2:$B$14),A986)))&gt;0,"Negative","Neutral")))</f>
        <v>Positive</v>
      </c>
    </row>
    <row r="987" spans="1:3" hidden="1" x14ac:dyDescent="0.25">
      <c r="A987" t="s">
        <v>2</v>
      </c>
      <c r="B987">
        <v>5</v>
      </c>
      <c r="C987" t="str">
        <f>IF(AND(SUMPRODUCT(--ISNUMBER(SEARCH(TRIM(Keywords!$A$2:$A$16),A987)))&gt;0,
        SUMPRODUCT(--ISNUMBER(SEARCH(TRIM(Keywords!$B$2:$B$14),A987)))&gt;0),"Neutral",
IF(SUMPRODUCT(--ISNUMBER(SEARCH(TRIM(Keywords!$A$2:$A$16),A987)))&gt;0,"Positive",
IF(SUMPRODUCT(--ISNUMBER(SEARCH(TRIM(Keywords!$A$2:$B$14),A987)))&gt;0,"Negative","Neutral")))</f>
        <v>Positive</v>
      </c>
    </row>
    <row r="988" spans="1:3" hidden="1" x14ac:dyDescent="0.25">
      <c r="A988" t="s">
        <v>549</v>
      </c>
      <c r="B988">
        <v>5</v>
      </c>
      <c r="C988" t="str">
        <f>IF(AND(SUMPRODUCT(--ISNUMBER(SEARCH(TRIM(Keywords!$A$2:$A$16),A988)))&gt;0,
        SUMPRODUCT(--ISNUMBER(SEARCH(TRIM(Keywords!$B$2:$B$14),A988)))&gt;0),"Neutral",
IF(SUMPRODUCT(--ISNUMBER(SEARCH(TRIM(Keywords!$A$2:$A$16),A988)))&gt;0,"Positive",
IF(SUMPRODUCT(--ISNUMBER(SEARCH(TRIM(Keywords!$A$2:$B$14),A988)))&gt;0,"Negative","Neutral")))</f>
        <v>Positive</v>
      </c>
    </row>
    <row r="989" spans="1:3" x14ac:dyDescent="0.25">
      <c r="A989" t="s">
        <v>550</v>
      </c>
      <c r="B989">
        <v>5</v>
      </c>
      <c r="C989" t="str">
        <f>IF(AND(SUMPRODUCT(--ISNUMBER(SEARCH(TRIM(Keywords!$A$2:$A$16),A989)))&gt;0,
        SUMPRODUCT(--ISNUMBER(SEARCH(TRIM(Keywords!$B$2:$B$14),A989)))&gt;0),"Neutral",
IF(SUMPRODUCT(--ISNUMBER(SEARCH(TRIM(Keywords!$A$2:$A$16),A989)))&gt;0,"Positive",
IF(SUMPRODUCT(--ISNUMBER(SEARCH(TRIM(Keywords!$A$2:$B$14),A989)))&gt;0,"Negative","Neutral")))</f>
        <v>Neutral</v>
      </c>
    </row>
    <row r="990" spans="1:3" hidden="1" x14ac:dyDescent="0.25">
      <c r="A990" t="s">
        <v>24</v>
      </c>
      <c r="B990">
        <v>5</v>
      </c>
      <c r="C990" t="str">
        <f>IF(AND(SUMPRODUCT(--ISNUMBER(SEARCH(TRIM(Keywords!$A$2:$A$16),A990)))&gt;0,
        SUMPRODUCT(--ISNUMBER(SEARCH(TRIM(Keywords!$B$2:$B$14),A990)))&gt;0),"Neutral",
IF(SUMPRODUCT(--ISNUMBER(SEARCH(TRIM(Keywords!$A$2:$A$16),A990)))&gt;0,"Positive",
IF(SUMPRODUCT(--ISNUMBER(SEARCH(TRIM(Keywords!$A$2:$B$14),A990)))&gt;0,"Negative","Neutral")))</f>
        <v>Positive</v>
      </c>
    </row>
    <row r="991" spans="1:3" hidden="1" x14ac:dyDescent="0.25">
      <c r="A991" t="s">
        <v>392</v>
      </c>
      <c r="B991">
        <v>5</v>
      </c>
      <c r="C991" t="str">
        <f>IF(AND(SUMPRODUCT(--ISNUMBER(SEARCH(TRIM(Keywords!$A$2:$A$16),A991)))&gt;0,
        SUMPRODUCT(--ISNUMBER(SEARCH(TRIM(Keywords!$B$2:$B$14),A991)))&gt;0),"Neutral",
IF(SUMPRODUCT(--ISNUMBER(SEARCH(TRIM(Keywords!$A$2:$A$16),A991)))&gt;0,"Positive",
IF(SUMPRODUCT(--ISNUMBER(SEARCH(TRIM(Keywords!$A$2:$B$14),A991)))&gt;0,"Negative","Neutral")))</f>
        <v>Positive</v>
      </c>
    </row>
    <row r="992" spans="1:3" x14ac:dyDescent="0.25">
      <c r="A992" t="s">
        <v>551</v>
      </c>
      <c r="B992">
        <v>3</v>
      </c>
      <c r="C992" t="str">
        <f>IF(AND(SUMPRODUCT(--ISNUMBER(SEARCH(TRIM(Keywords!$A$2:$A$16),A992)))&gt;0,
        SUMPRODUCT(--ISNUMBER(SEARCH(TRIM(Keywords!$B$2:$B$14),A992)))&gt;0),"Neutral",
IF(SUMPRODUCT(--ISNUMBER(SEARCH(TRIM(Keywords!$A$2:$A$16),A992)))&gt;0,"Positive",
IF(SUMPRODUCT(--ISNUMBER(SEARCH(TRIM(Keywords!$A$2:$B$14),A992)))&gt;0,"Negative","Neutral")))</f>
        <v>Neutral</v>
      </c>
    </row>
    <row r="993" spans="1:3" hidden="1" x14ac:dyDescent="0.25">
      <c r="A993" t="s">
        <v>2</v>
      </c>
      <c r="B993">
        <v>5</v>
      </c>
      <c r="C993" t="str">
        <f>IF(AND(SUMPRODUCT(--ISNUMBER(SEARCH(TRIM(Keywords!$A$2:$A$16),A993)))&gt;0,
        SUMPRODUCT(--ISNUMBER(SEARCH(TRIM(Keywords!$B$2:$B$14),A993)))&gt;0),"Neutral",
IF(SUMPRODUCT(--ISNUMBER(SEARCH(TRIM(Keywords!$A$2:$A$16),A993)))&gt;0,"Positive",
IF(SUMPRODUCT(--ISNUMBER(SEARCH(TRIM(Keywords!$A$2:$B$14),A993)))&gt;0,"Negative","Neutral")))</f>
        <v>Positive</v>
      </c>
    </row>
    <row r="994" spans="1:3" hidden="1" x14ac:dyDescent="0.25">
      <c r="A994" t="s">
        <v>552</v>
      </c>
      <c r="B994">
        <v>5</v>
      </c>
      <c r="C994" t="str">
        <f>IF(AND(SUMPRODUCT(--ISNUMBER(SEARCH(TRIM(Keywords!$A$2:$A$16),A994)))&gt;0,
        SUMPRODUCT(--ISNUMBER(SEARCH(TRIM(Keywords!$B$2:$B$14),A994)))&gt;0),"Neutral",
IF(SUMPRODUCT(--ISNUMBER(SEARCH(TRIM(Keywords!$A$2:$A$16),A994)))&gt;0,"Positive",
IF(SUMPRODUCT(--ISNUMBER(SEARCH(TRIM(Keywords!$A$2:$B$14),A994)))&gt;0,"Negative","Neutral")))</f>
        <v>Positive</v>
      </c>
    </row>
    <row r="995" spans="1:3" x14ac:dyDescent="0.25">
      <c r="A995" t="s">
        <v>553</v>
      </c>
      <c r="B995">
        <v>5</v>
      </c>
      <c r="C995" t="str">
        <f>IF(AND(SUMPRODUCT(--ISNUMBER(SEARCH(TRIM(Keywords!$A$2:$A$16),A995)))&gt;0,
        SUMPRODUCT(--ISNUMBER(SEARCH(TRIM(Keywords!$B$2:$B$14),A995)))&gt;0),"Neutral",
IF(SUMPRODUCT(--ISNUMBER(SEARCH(TRIM(Keywords!$A$2:$A$16),A995)))&gt;0,"Positive",
IF(SUMPRODUCT(--ISNUMBER(SEARCH(TRIM(Keywords!$A$2:$B$14),A995)))&gt;0,"Negative","Neutral")))</f>
        <v>Neutral</v>
      </c>
    </row>
    <row r="996" spans="1:3" hidden="1" x14ac:dyDescent="0.25">
      <c r="A996" t="s">
        <v>554</v>
      </c>
      <c r="B996">
        <v>5</v>
      </c>
      <c r="C996" t="str">
        <f>IF(AND(SUMPRODUCT(--ISNUMBER(SEARCH(TRIM(Keywords!$A$2:$A$16),A996)))&gt;0,
        SUMPRODUCT(--ISNUMBER(SEARCH(TRIM(Keywords!$B$2:$B$14),A996)))&gt;0),"Neutral",
IF(SUMPRODUCT(--ISNUMBER(SEARCH(TRIM(Keywords!$A$2:$A$16),A996)))&gt;0,"Positive",
IF(SUMPRODUCT(--ISNUMBER(SEARCH(TRIM(Keywords!$A$2:$B$14),A996)))&gt;0,"Negative","Neutral")))</f>
        <v>Positive</v>
      </c>
    </row>
    <row r="997" spans="1:3" hidden="1" x14ac:dyDescent="0.25">
      <c r="A997" t="s">
        <v>555</v>
      </c>
      <c r="B997">
        <v>5</v>
      </c>
      <c r="C997" t="str">
        <f>IF(AND(SUMPRODUCT(--ISNUMBER(SEARCH(TRIM(Keywords!$A$2:$A$16),A997)))&gt;0,
        SUMPRODUCT(--ISNUMBER(SEARCH(TRIM(Keywords!$B$2:$B$14),A997)))&gt;0),"Neutral",
IF(SUMPRODUCT(--ISNUMBER(SEARCH(TRIM(Keywords!$A$2:$A$16),A997)))&gt;0,"Positive",
IF(SUMPRODUCT(--ISNUMBER(SEARCH(TRIM(Keywords!$A$2:$B$14),A997)))&gt;0,"Negative","Neutral")))</f>
        <v>Positive</v>
      </c>
    </row>
    <row r="998" spans="1:3" hidden="1" x14ac:dyDescent="0.25">
      <c r="A998" t="s">
        <v>53</v>
      </c>
      <c r="B998">
        <v>5</v>
      </c>
      <c r="C998" t="str">
        <f>IF(AND(SUMPRODUCT(--ISNUMBER(SEARCH(TRIM(Keywords!$A$2:$A$16),A998)))&gt;0,
        SUMPRODUCT(--ISNUMBER(SEARCH(TRIM(Keywords!$B$2:$B$14),A998)))&gt;0),"Neutral",
IF(SUMPRODUCT(--ISNUMBER(SEARCH(TRIM(Keywords!$A$2:$A$16),A998)))&gt;0,"Positive",
IF(SUMPRODUCT(--ISNUMBER(SEARCH(TRIM(Keywords!$A$2:$B$14),A998)))&gt;0,"Negative","Neutral")))</f>
        <v>Positive</v>
      </c>
    </row>
    <row r="999" spans="1:3" hidden="1" x14ac:dyDescent="0.25">
      <c r="A999" t="s">
        <v>2</v>
      </c>
      <c r="B999">
        <v>4</v>
      </c>
      <c r="C999" t="str">
        <f>IF(AND(SUMPRODUCT(--ISNUMBER(SEARCH(TRIM(Keywords!$A$2:$A$16),A999)))&gt;0,
        SUMPRODUCT(--ISNUMBER(SEARCH(TRIM(Keywords!$B$2:$B$14),A999)))&gt;0),"Neutral",
IF(SUMPRODUCT(--ISNUMBER(SEARCH(TRIM(Keywords!$A$2:$A$16),A999)))&gt;0,"Positive",
IF(SUMPRODUCT(--ISNUMBER(SEARCH(TRIM(Keywords!$A$2:$B$14),A999)))&gt;0,"Negative","Neutral")))</f>
        <v>Positive</v>
      </c>
    </row>
    <row r="1000" spans="1:3" x14ac:dyDescent="0.25">
      <c r="A1000" t="s">
        <v>36</v>
      </c>
      <c r="B1000">
        <v>3</v>
      </c>
      <c r="C1000" t="str">
        <f>IF(AND(SUMPRODUCT(--ISNUMBER(SEARCH(TRIM(Keywords!$A$2:$A$16),A1000)))&gt;0,
        SUMPRODUCT(--ISNUMBER(SEARCH(TRIM(Keywords!$B$2:$B$14),A1000)))&gt;0),"Neutral",
IF(SUMPRODUCT(--ISNUMBER(SEARCH(TRIM(Keywords!$A$2:$A$16),A1000)))&gt;0,"Positive",
IF(SUMPRODUCT(--ISNUMBER(SEARCH(TRIM(Keywords!$A$2:$B$14),A1000)))&gt;0,"Negative","Neutral")))</f>
        <v>Neutral</v>
      </c>
    </row>
    <row r="1001" spans="1:3" x14ac:dyDescent="0.25">
      <c r="A1001" t="s">
        <v>556</v>
      </c>
      <c r="B1001">
        <v>3</v>
      </c>
      <c r="C1001" t="str">
        <f>IF(AND(SUMPRODUCT(--ISNUMBER(SEARCH(TRIM(Keywords!$A$2:$A$16),A1001)))&gt;0,
        SUMPRODUCT(--ISNUMBER(SEARCH(TRIM(Keywords!$B$2:$B$14),A1001)))&gt;0),"Neutral",
IF(SUMPRODUCT(--ISNUMBER(SEARCH(TRIM(Keywords!$A$2:$A$16),A1001)))&gt;0,"Positive",
IF(SUMPRODUCT(--ISNUMBER(SEARCH(TRIM(Keywords!$A$2:$B$14),A1001)))&gt;0,"Negative","Neutral")))</f>
        <v>Neutral</v>
      </c>
    </row>
    <row r="1002" spans="1:3" hidden="1" x14ac:dyDescent="0.25">
      <c r="A1002" t="s">
        <v>557</v>
      </c>
      <c r="B1002">
        <v>5</v>
      </c>
      <c r="C1002" t="str">
        <f>IF(AND(SUMPRODUCT(--ISNUMBER(SEARCH(TRIM(Keywords!$A$2:$A$16),A1002)))&gt;0,
        SUMPRODUCT(--ISNUMBER(SEARCH(TRIM(Keywords!$B$2:$B$14),A1002)))&gt;0),"Neutral",
IF(SUMPRODUCT(--ISNUMBER(SEARCH(TRIM(Keywords!$A$2:$A$16),A1002)))&gt;0,"Positive",
IF(SUMPRODUCT(--ISNUMBER(SEARCH(TRIM(Keywords!$A$2:$B$14),A1002)))&gt;0,"Negative","Neutral")))</f>
        <v>Positive</v>
      </c>
    </row>
    <row r="1003" spans="1:3" hidden="1" x14ac:dyDescent="0.25">
      <c r="A1003" t="s">
        <v>38</v>
      </c>
      <c r="B1003">
        <v>5</v>
      </c>
      <c r="C1003" t="str">
        <f>IF(AND(SUMPRODUCT(--ISNUMBER(SEARCH(TRIM(Keywords!$A$2:$A$16),A1003)))&gt;0,
        SUMPRODUCT(--ISNUMBER(SEARCH(TRIM(Keywords!$B$2:$B$14),A1003)))&gt;0),"Neutral",
IF(SUMPRODUCT(--ISNUMBER(SEARCH(TRIM(Keywords!$A$2:$A$16),A1003)))&gt;0,"Positive",
IF(SUMPRODUCT(--ISNUMBER(SEARCH(TRIM(Keywords!$A$2:$B$14),A1003)))&gt;0,"Negative","Neutral")))</f>
        <v>Positive</v>
      </c>
    </row>
    <row r="1004" spans="1:3" hidden="1" x14ac:dyDescent="0.25">
      <c r="A1004" t="s">
        <v>37</v>
      </c>
      <c r="B1004">
        <v>5</v>
      </c>
      <c r="C1004" t="str">
        <f>IF(AND(SUMPRODUCT(--ISNUMBER(SEARCH(TRIM(Keywords!$A$2:$A$16),A1004)))&gt;0,
        SUMPRODUCT(--ISNUMBER(SEARCH(TRIM(Keywords!$B$2:$B$14),A1004)))&gt;0),"Neutral",
IF(SUMPRODUCT(--ISNUMBER(SEARCH(TRIM(Keywords!$A$2:$A$16),A1004)))&gt;0,"Positive",
IF(SUMPRODUCT(--ISNUMBER(SEARCH(TRIM(Keywords!$A$2:$B$14),A1004)))&gt;0,"Negative","Neutral")))</f>
        <v>Positive</v>
      </c>
    </row>
    <row r="1005" spans="1:3" hidden="1" x14ac:dyDescent="0.25">
      <c r="A1005" t="s">
        <v>2</v>
      </c>
      <c r="B1005">
        <v>5</v>
      </c>
      <c r="C1005" t="str">
        <f>IF(AND(SUMPRODUCT(--ISNUMBER(SEARCH(TRIM(Keywords!$A$2:$A$16),A1005)))&gt;0,
        SUMPRODUCT(--ISNUMBER(SEARCH(TRIM(Keywords!$B$2:$B$14),A1005)))&gt;0),"Neutral",
IF(SUMPRODUCT(--ISNUMBER(SEARCH(TRIM(Keywords!$A$2:$A$16),A1005)))&gt;0,"Positive",
IF(SUMPRODUCT(--ISNUMBER(SEARCH(TRIM(Keywords!$A$2:$B$14),A1005)))&gt;0,"Negative","Neutral")))</f>
        <v>Positive</v>
      </c>
    </row>
    <row r="1006" spans="1:3" hidden="1" x14ac:dyDescent="0.25">
      <c r="A1006" t="s">
        <v>37</v>
      </c>
      <c r="B1006">
        <v>5</v>
      </c>
      <c r="C1006" t="str">
        <f>IF(AND(SUMPRODUCT(--ISNUMBER(SEARCH(TRIM(Keywords!$A$2:$A$16),A1006)))&gt;0,
        SUMPRODUCT(--ISNUMBER(SEARCH(TRIM(Keywords!$B$2:$B$14),A1006)))&gt;0),"Neutral",
IF(SUMPRODUCT(--ISNUMBER(SEARCH(TRIM(Keywords!$A$2:$A$16),A1006)))&gt;0,"Positive",
IF(SUMPRODUCT(--ISNUMBER(SEARCH(TRIM(Keywords!$A$2:$B$14),A1006)))&gt;0,"Negative","Neutral")))</f>
        <v>Positive</v>
      </c>
    </row>
    <row r="1007" spans="1:3" hidden="1" x14ac:dyDescent="0.25">
      <c r="A1007" t="s">
        <v>2</v>
      </c>
      <c r="B1007">
        <v>3</v>
      </c>
      <c r="C1007" t="str">
        <f>IF(AND(SUMPRODUCT(--ISNUMBER(SEARCH(TRIM(Keywords!$A$2:$A$16),A1007)))&gt;0,
        SUMPRODUCT(--ISNUMBER(SEARCH(TRIM(Keywords!$B$2:$B$14),A1007)))&gt;0),"Neutral",
IF(SUMPRODUCT(--ISNUMBER(SEARCH(TRIM(Keywords!$A$2:$A$16),A1007)))&gt;0,"Positive",
IF(SUMPRODUCT(--ISNUMBER(SEARCH(TRIM(Keywords!$A$2:$B$14),A1007)))&gt;0,"Negative","Neutral")))</f>
        <v>Positive</v>
      </c>
    </row>
    <row r="1008" spans="1:3" hidden="1" x14ac:dyDescent="0.25">
      <c r="A1008" t="s">
        <v>39</v>
      </c>
      <c r="B1008">
        <v>5</v>
      </c>
      <c r="C1008" t="str">
        <f>IF(AND(SUMPRODUCT(--ISNUMBER(SEARCH(TRIM(Keywords!$A$2:$A$16),A1008)))&gt;0,
        SUMPRODUCT(--ISNUMBER(SEARCH(TRIM(Keywords!$B$2:$B$14),A1008)))&gt;0),"Neutral",
IF(SUMPRODUCT(--ISNUMBER(SEARCH(TRIM(Keywords!$A$2:$A$16),A1008)))&gt;0,"Positive",
IF(SUMPRODUCT(--ISNUMBER(SEARCH(TRIM(Keywords!$A$2:$B$14),A1008)))&gt;0,"Negative","Neutral")))</f>
        <v>Positive</v>
      </c>
    </row>
    <row r="1009" spans="1:3" hidden="1" x14ac:dyDescent="0.25">
      <c r="A1009" t="s">
        <v>37</v>
      </c>
      <c r="B1009">
        <v>5</v>
      </c>
      <c r="C1009" t="str">
        <f>IF(AND(SUMPRODUCT(--ISNUMBER(SEARCH(TRIM(Keywords!$A$2:$A$16),A1009)))&gt;0,
        SUMPRODUCT(--ISNUMBER(SEARCH(TRIM(Keywords!$B$2:$B$14),A1009)))&gt;0),"Neutral",
IF(SUMPRODUCT(--ISNUMBER(SEARCH(TRIM(Keywords!$A$2:$A$16),A1009)))&gt;0,"Positive",
IF(SUMPRODUCT(--ISNUMBER(SEARCH(TRIM(Keywords!$A$2:$B$14),A1009)))&gt;0,"Negative","Neutral")))</f>
        <v>Positive</v>
      </c>
    </row>
    <row r="1010" spans="1:3" hidden="1" x14ac:dyDescent="0.25">
      <c r="A1010" t="s">
        <v>37</v>
      </c>
      <c r="B1010">
        <v>5</v>
      </c>
      <c r="C1010" t="str">
        <f>IF(AND(SUMPRODUCT(--ISNUMBER(SEARCH(TRIM(Keywords!$A$2:$A$16),A1010)))&gt;0,
        SUMPRODUCT(--ISNUMBER(SEARCH(TRIM(Keywords!$B$2:$B$14),A1010)))&gt;0),"Neutral",
IF(SUMPRODUCT(--ISNUMBER(SEARCH(TRIM(Keywords!$A$2:$A$16),A1010)))&gt;0,"Positive",
IF(SUMPRODUCT(--ISNUMBER(SEARCH(TRIM(Keywords!$A$2:$B$14),A1010)))&gt;0,"Negative","Neutral")))</f>
        <v>Positive</v>
      </c>
    </row>
    <row r="1011" spans="1:3" hidden="1" x14ac:dyDescent="0.25">
      <c r="A1011" t="s">
        <v>2</v>
      </c>
      <c r="B1011">
        <v>5</v>
      </c>
      <c r="C1011" t="str">
        <f>IF(AND(SUMPRODUCT(--ISNUMBER(SEARCH(TRIM(Keywords!$A$2:$A$16),A1011)))&gt;0,
        SUMPRODUCT(--ISNUMBER(SEARCH(TRIM(Keywords!$B$2:$B$14),A1011)))&gt;0),"Neutral",
IF(SUMPRODUCT(--ISNUMBER(SEARCH(TRIM(Keywords!$A$2:$A$16),A1011)))&gt;0,"Positive",
IF(SUMPRODUCT(--ISNUMBER(SEARCH(TRIM(Keywords!$A$2:$B$14),A1011)))&gt;0,"Negative","Neutral")))</f>
        <v>Positive</v>
      </c>
    </row>
    <row r="1012" spans="1:3" hidden="1" x14ac:dyDescent="0.25">
      <c r="A1012" t="s">
        <v>558</v>
      </c>
      <c r="B1012">
        <v>5</v>
      </c>
      <c r="C1012" t="str">
        <f>IF(AND(SUMPRODUCT(--ISNUMBER(SEARCH(TRIM(Keywords!$A$2:$A$16),A1012)))&gt;0,
        SUMPRODUCT(--ISNUMBER(SEARCH(TRIM(Keywords!$B$2:$B$14),A1012)))&gt;0),"Neutral",
IF(SUMPRODUCT(--ISNUMBER(SEARCH(TRIM(Keywords!$A$2:$A$16),A1012)))&gt;0,"Positive",
IF(SUMPRODUCT(--ISNUMBER(SEARCH(TRIM(Keywords!$A$2:$B$14),A1012)))&gt;0,"Negative","Neutral")))</f>
        <v>Negative</v>
      </c>
    </row>
    <row r="1013" spans="1:3" hidden="1" x14ac:dyDescent="0.25">
      <c r="A1013" t="s">
        <v>559</v>
      </c>
      <c r="B1013">
        <v>1</v>
      </c>
      <c r="C1013" t="str">
        <f>IF(AND(SUMPRODUCT(--ISNUMBER(SEARCH(TRIM(Keywords!$A$2:$A$16),A1013)))&gt;0,
        SUMPRODUCT(--ISNUMBER(SEARCH(TRIM(Keywords!$B$2:$B$14),A1013)))&gt;0),"Neutral",
IF(SUMPRODUCT(--ISNUMBER(SEARCH(TRIM(Keywords!$A$2:$A$16),A1013)))&gt;0,"Positive",
IF(SUMPRODUCT(--ISNUMBER(SEARCH(TRIM(Keywords!$A$2:$B$14),A1013)))&gt;0,"Negative","Neutral")))</f>
        <v>Negative</v>
      </c>
    </row>
    <row r="1014" spans="1:3" hidden="1" x14ac:dyDescent="0.25">
      <c r="A1014" t="s">
        <v>37</v>
      </c>
      <c r="B1014">
        <v>5</v>
      </c>
      <c r="C1014" t="str">
        <f>IF(AND(SUMPRODUCT(--ISNUMBER(SEARCH(TRIM(Keywords!$A$2:$A$16),A1014)))&gt;0,
        SUMPRODUCT(--ISNUMBER(SEARCH(TRIM(Keywords!$B$2:$B$14),A1014)))&gt;0),"Neutral",
IF(SUMPRODUCT(--ISNUMBER(SEARCH(TRIM(Keywords!$A$2:$A$16),A1014)))&gt;0,"Positive",
IF(SUMPRODUCT(--ISNUMBER(SEARCH(TRIM(Keywords!$A$2:$B$14),A1014)))&gt;0,"Negative","Neutral")))</f>
        <v>Positive</v>
      </c>
    </row>
    <row r="1015" spans="1:3" hidden="1" x14ac:dyDescent="0.25">
      <c r="A1015" t="s">
        <v>37</v>
      </c>
      <c r="B1015">
        <v>5</v>
      </c>
      <c r="C1015" t="str">
        <f>IF(AND(SUMPRODUCT(--ISNUMBER(SEARCH(TRIM(Keywords!$A$2:$A$16),A1015)))&gt;0,
        SUMPRODUCT(--ISNUMBER(SEARCH(TRIM(Keywords!$B$2:$B$14),A1015)))&gt;0),"Neutral",
IF(SUMPRODUCT(--ISNUMBER(SEARCH(TRIM(Keywords!$A$2:$A$16),A1015)))&gt;0,"Positive",
IF(SUMPRODUCT(--ISNUMBER(SEARCH(TRIM(Keywords!$A$2:$B$14),A1015)))&gt;0,"Negative","Neutral")))</f>
        <v>Positive</v>
      </c>
    </row>
    <row r="1016" spans="1:3" x14ac:dyDescent="0.25">
      <c r="A1016" t="s">
        <v>61</v>
      </c>
      <c r="B1016">
        <v>5</v>
      </c>
      <c r="C1016" t="str">
        <f>IF(AND(SUMPRODUCT(--ISNUMBER(SEARCH(TRIM(Keywords!$A$2:$A$16),A1016)))&gt;0,
        SUMPRODUCT(--ISNUMBER(SEARCH(TRIM(Keywords!$B$2:$B$14),A1016)))&gt;0),"Neutral",
IF(SUMPRODUCT(--ISNUMBER(SEARCH(TRIM(Keywords!$A$2:$A$16),A1016)))&gt;0,"Positive",
IF(SUMPRODUCT(--ISNUMBER(SEARCH(TRIM(Keywords!$A$2:$B$14),A1016)))&gt;0,"Negative","Neutral")))</f>
        <v>Neutral</v>
      </c>
    </row>
    <row r="1017" spans="1:3" hidden="1" x14ac:dyDescent="0.25">
      <c r="A1017" t="s">
        <v>37</v>
      </c>
      <c r="B1017">
        <v>4</v>
      </c>
      <c r="C1017" t="str">
        <f>IF(AND(SUMPRODUCT(--ISNUMBER(SEARCH(TRIM(Keywords!$A$2:$A$16),A1017)))&gt;0,
        SUMPRODUCT(--ISNUMBER(SEARCH(TRIM(Keywords!$B$2:$B$14),A1017)))&gt;0),"Neutral",
IF(SUMPRODUCT(--ISNUMBER(SEARCH(TRIM(Keywords!$A$2:$A$16),A1017)))&gt;0,"Positive",
IF(SUMPRODUCT(--ISNUMBER(SEARCH(TRIM(Keywords!$A$2:$B$14),A1017)))&gt;0,"Negative","Neutral")))</f>
        <v>Positive</v>
      </c>
    </row>
    <row r="1018" spans="1:3" x14ac:dyDescent="0.25">
      <c r="A1018" t="s">
        <v>64</v>
      </c>
      <c r="B1018">
        <v>1</v>
      </c>
      <c r="C1018" t="str">
        <f>IF(AND(SUMPRODUCT(--ISNUMBER(SEARCH(TRIM(Keywords!$A$2:$A$16),A1018)))&gt;0,
        SUMPRODUCT(--ISNUMBER(SEARCH(TRIM(Keywords!$B$2:$B$14),A1018)))&gt;0),"Neutral",
IF(SUMPRODUCT(--ISNUMBER(SEARCH(TRIM(Keywords!$A$2:$A$16),A1018)))&gt;0,"Positive",
IF(SUMPRODUCT(--ISNUMBER(SEARCH(TRIM(Keywords!$A$2:$B$14),A1018)))&gt;0,"Negative","Neutral")))</f>
        <v>Neutral</v>
      </c>
    </row>
    <row r="1019" spans="1:3" hidden="1" x14ac:dyDescent="0.25">
      <c r="A1019" t="s">
        <v>37</v>
      </c>
      <c r="B1019">
        <v>5</v>
      </c>
      <c r="C1019" t="str">
        <f>IF(AND(SUMPRODUCT(--ISNUMBER(SEARCH(TRIM(Keywords!$A$2:$A$16),A1019)))&gt;0,
        SUMPRODUCT(--ISNUMBER(SEARCH(TRIM(Keywords!$B$2:$B$14),A1019)))&gt;0),"Neutral",
IF(SUMPRODUCT(--ISNUMBER(SEARCH(TRIM(Keywords!$A$2:$A$16),A1019)))&gt;0,"Positive",
IF(SUMPRODUCT(--ISNUMBER(SEARCH(TRIM(Keywords!$A$2:$B$14),A1019)))&gt;0,"Negative","Neutral")))</f>
        <v>Positive</v>
      </c>
    </row>
    <row r="1020" spans="1:3" hidden="1" x14ac:dyDescent="0.25">
      <c r="A1020" t="s">
        <v>37</v>
      </c>
      <c r="B1020">
        <v>3</v>
      </c>
      <c r="C1020" t="str">
        <f>IF(AND(SUMPRODUCT(--ISNUMBER(SEARCH(TRIM(Keywords!$A$2:$A$16),A1020)))&gt;0,
        SUMPRODUCT(--ISNUMBER(SEARCH(TRIM(Keywords!$B$2:$B$14),A1020)))&gt;0),"Neutral",
IF(SUMPRODUCT(--ISNUMBER(SEARCH(TRIM(Keywords!$A$2:$A$16),A1020)))&gt;0,"Positive",
IF(SUMPRODUCT(--ISNUMBER(SEARCH(TRIM(Keywords!$A$2:$B$14),A1020)))&gt;0,"Negative","Neutral")))</f>
        <v>Positive</v>
      </c>
    </row>
    <row r="1021" spans="1:3" hidden="1" x14ac:dyDescent="0.25">
      <c r="A1021" t="s">
        <v>2</v>
      </c>
      <c r="B1021">
        <v>5</v>
      </c>
      <c r="C1021" t="str">
        <f>IF(AND(SUMPRODUCT(--ISNUMBER(SEARCH(TRIM(Keywords!$A$2:$A$16),A1021)))&gt;0,
        SUMPRODUCT(--ISNUMBER(SEARCH(TRIM(Keywords!$B$2:$B$14),A1021)))&gt;0),"Neutral",
IF(SUMPRODUCT(--ISNUMBER(SEARCH(TRIM(Keywords!$A$2:$A$16),A1021)))&gt;0,"Positive",
IF(SUMPRODUCT(--ISNUMBER(SEARCH(TRIM(Keywords!$A$2:$B$14),A1021)))&gt;0,"Negative","Neutral")))</f>
        <v>Positive</v>
      </c>
    </row>
    <row r="1022" spans="1:3" hidden="1" x14ac:dyDescent="0.25">
      <c r="A1022" t="s">
        <v>560</v>
      </c>
      <c r="B1022">
        <v>5</v>
      </c>
      <c r="C1022" t="str">
        <f>IF(AND(SUMPRODUCT(--ISNUMBER(SEARCH(TRIM(Keywords!$A$2:$A$16),A1022)))&gt;0,
        SUMPRODUCT(--ISNUMBER(SEARCH(TRIM(Keywords!$B$2:$B$14),A1022)))&gt;0),"Neutral",
IF(SUMPRODUCT(--ISNUMBER(SEARCH(TRIM(Keywords!$A$2:$A$16),A1022)))&gt;0,"Positive",
IF(SUMPRODUCT(--ISNUMBER(SEARCH(TRIM(Keywords!$A$2:$B$14),A1022)))&gt;0,"Negative","Neutral")))</f>
        <v>Positive</v>
      </c>
    </row>
    <row r="1023" spans="1:3" hidden="1" x14ac:dyDescent="0.25">
      <c r="A1023" t="s">
        <v>2</v>
      </c>
      <c r="B1023">
        <v>5</v>
      </c>
      <c r="C1023" t="str">
        <f>IF(AND(SUMPRODUCT(--ISNUMBER(SEARCH(TRIM(Keywords!$A$2:$A$16),A1023)))&gt;0,
        SUMPRODUCT(--ISNUMBER(SEARCH(TRIM(Keywords!$B$2:$B$14),A1023)))&gt;0),"Neutral",
IF(SUMPRODUCT(--ISNUMBER(SEARCH(TRIM(Keywords!$A$2:$A$16),A1023)))&gt;0,"Positive",
IF(SUMPRODUCT(--ISNUMBER(SEARCH(TRIM(Keywords!$A$2:$B$14),A1023)))&gt;0,"Negative","Neutral")))</f>
        <v>Positive</v>
      </c>
    </row>
    <row r="1024" spans="1:3" hidden="1" x14ac:dyDescent="0.25">
      <c r="A1024" t="s">
        <v>2</v>
      </c>
      <c r="B1024">
        <v>3</v>
      </c>
      <c r="C1024" t="str">
        <f>IF(AND(SUMPRODUCT(--ISNUMBER(SEARCH(TRIM(Keywords!$A$2:$A$16),A1024)))&gt;0,
        SUMPRODUCT(--ISNUMBER(SEARCH(TRIM(Keywords!$B$2:$B$14),A1024)))&gt;0),"Neutral",
IF(SUMPRODUCT(--ISNUMBER(SEARCH(TRIM(Keywords!$A$2:$A$16),A1024)))&gt;0,"Positive",
IF(SUMPRODUCT(--ISNUMBER(SEARCH(TRIM(Keywords!$A$2:$B$14),A1024)))&gt;0,"Negative","Neutral")))</f>
        <v>Positive</v>
      </c>
    </row>
    <row r="1025" spans="1:3" hidden="1" x14ac:dyDescent="0.25">
      <c r="A1025" t="s">
        <v>2</v>
      </c>
      <c r="B1025">
        <v>5</v>
      </c>
      <c r="C1025" t="str">
        <f>IF(AND(SUMPRODUCT(--ISNUMBER(SEARCH(TRIM(Keywords!$A$2:$A$16),A1025)))&gt;0,
        SUMPRODUCT(--ISNUMBER(SEARCH(TRIM(Keywords!$B$2:$B$14),A1025)))&gt;0),"Neutral",
IF(SUMPRODUCT(--ISNUMBER(SEARCH(TRIM(Keywords!$A$2:$A$16),A1025)))&gt;0,"Positive",
IF(SUMPRODUCT(--ISNUMBER(SEARCH(TRIM(Keywords!$A$2:$B$14),A1025)))&gt;0,"Negative","Neutral")))</f>
        <v>Positive</v>
      </c>
    </row>
    <row r="1026" spans="1:3" hidden="1" x14ac:dyDescent="0.25">
      <c r="A1026" t="s">
        <v>31</v>
      </c>
      <c r="B1026">
        <v>5</v>
      </c>
      <c r="C1026" t="str">
        <f>IF(AND(SUMPRODUCT(--ISNUMBER(SEARCH(TRIM(Keywords!$A$2:$A$16),A1026)))&gt;0,
        SUMPRODUCT(--ISNUMBER(SEARCH(TRIM(Keywords!$B$2:$B$14),A1026)))&gt;0),"Neutral",
IF(SUMPRODUCT(--ISNUMBER(SEARCH(TRIM(Keywords!$A$2:$A$16),A1026)))&gt;0,"Positive",
IF(SUMPRODUCT(--ISNUMBER(SEARCH(TRIM(Keywords!$A$2:$B$14),A1026)))&gt;0,"Negative","Neutral")))</f>
        <v>Positive</v>
      </c>
    </row>
    <row r="1027" spans="1:3" hidden="1" x14ac:dyDescent="0.25">
      <c r="A1027" t="s">
        <v>38</v>
      </c>
      <c r="B1027">
        <v>5</v>
      </c>
      <c r="C1027" t="str">
        <f>IF(AND(SUMPRODUCT(--ISNUMBER(SEARCH(TRIM(Keywords!$A$2:$A$16),A1027)))&gt;0,
        SUMPRODUCT(--ISNUMBER(SEARCH(TRIM(Keywords!$B$2:$B$14),A1027)))&gt;0),"Neutral",
IF(SUMPRODUCT(--ISNUMBER(SEARCH(TRIM(Keywords!$A$2:$A$16),A1027)))&gt;0,"Positive",
IF(SUMPRODUCT(--ISNUMBER(SEARCH(TRIM(Keywords!$A$2:$B$14),A1027)))&gt;0,"Negative","Neutral")))</f>
        <v>Positive</v>
      </c>
    </row>
    <row r="1028" spans="1:3" hidden="1" x14ac:dyDescent="0.25">
      <c r="A1028" t="s">
        <v>2</v>
      </c>
      <c r="B1028">
        <v>5</v>
      </c>
      <c r="C1028" t="str">
        <f>IF(AND(SUMPRODUCT(--ISNUMBER(SEARCH(TRIM(Keywords!$A$2:$A$16),A1028)))&gt;0,
        SUMPRODUCT(--ISNUMBER(SEARCH(TRIM(Keywords!$B$2:$B$14),A1028)))&gt;0),"Neutral",
IF(SUMPRODUCT(--ISNUMBER(SEARCH(TRIM(Keywords!$A$2:$A$16),A1028)))&gt;0,"Positive",
IF(SUMPRODUCT(--ISNUMBER(SEARCH(TRIM(Keywords!$A$2:$B$14),A1028)))&gt;0,"Negative","Neutral")))</f>
        <v>Positive</v>
      </c>
    </row>
    <row r="1029" spans="1:3" hidden="1" x14ac:dyDescent="0.25">
      <c r="A1029" t="s">
        <v>561</v>
      </c>
      <c r="B1029">
        <v>5</v>
      </c>
      <c r="C1029" t="str">
        <f>IF(AND(SUMPRODUCT(--ISNUMBER(SEARCH(TRIM(Keywords!$A$2:$A$16),A1029)))&gt;0,
        SUMPRODUCT(--ISNUMBER(SEARCH(TRIM(Keywords!$B$2:$B$14),A1029)))&gt;0),"Neutral",
IF(SUMPRODUCT(--ISNUMBER(SEARCH(TRIM(Keywords!$A$2:$A$16),A1029)))&gt;0,"Positive",
IF(SUMPRODUCT(--ISNUMBER(SEARCH(TRIM(Keywords!$A$2:$B$14),A1029)))&gt;0,"Negative","Neutral")))</f>
        <v>Positive</v>
      </c>
    </row>
    <row r="1030" spans="1:3" hidden="1" x14ac:dyDescent="0.25">
      <c r="A1030" t="s">
        <v>562</v>
      </c>
      <c r="B1030">
        <v>1</v>
      </c>
      <c r="C1030" t="str">
        <f>IF(AND(SUMPRODUCT(--ISNUMBER(SEARCH(TRIM(Keywords!$A$2:$A$16),A1030)))&gt;0,
        SUMPRODUCT(--ISNUMBER(SEARCH(TRIM(Keywords!$B$2:$B$14),A1030)))&gt;0),"Neutral",
IF(SUMPRODUCT(--ISNUMBER(SEARCH(TRIM(Keywords!$A$2:$A$16),A1030)))&gt;0,"Positive",
IF(SUMPRODUCT(--ISNUMBER(SEARCH(TRIM(Keywords!$A$2:$B$14),A1030)))&gt;0,"Negative","Neutral")))</f>
        <v>Negative</v>
      </c>
    </row>
    <row r="1031" spans="1:3" x14ac:dyDescent="0.25">
      <c r="A1031" t="s">
        <v>563</v>
      </c>
      <c r="B1031">
        <v>5</v>
      </c>
      <c r="C1031" t="str">
        <f>IF(AND(SUMPRODUCT(--ISNUMBER(SEARCH(TRIM(Keywords!$A$2:$A$16),A1031)))&gt;0,
        SUMPRODUCT(--ISNUMBER(SEARCH(TRIM(Keywords!$B$2:$B$14),A1031)))&gt;0),"Neutral",
IF(SUMPRODUCT(--ISNUMBER(SEARCH(TRIM(Keywords!$A$2:$A$16),A1031)))&gt;0,"Positive",
IF(SUMPRODUCT(--ISNUMBER(SEARCH(TRIM(Keywords!$A$2:$B$14),A1031)))&gt;0,"Negative","Neutral")))</f>
        <v>Neutral</v>
      </c>
    </row>
    <row r="1032" spans="1:3" hidden="1" x14ac:dyDescent="0.25">
      <c r="A1032" t="s">
        <v>2</v>
      </c>
      <c r="B1032">
        <v>5</v>
      </c>
      <c r="C1032" t="str">
        <f>IF(AND(SUMPRODUCT(--ISNUMBER(SEARCH(TRIM(Keywords!$A$2:$A$16),A1032)))&gt;0,
        SUMPRODUCT(--ISNUMBER(SEARCH(TRIM(Keywords!$B$2:$B$14),A1032)))&gt;0),"Neutral",
IF(SUMPRODUCT(--ISNUMBER(SEARCH(TRIM(Keywords!$A$2:$A$16),A1032)))&gt;0,"Positive",
IF(SUMPRODUCT(--ISNUMBER(SEARCH(TRIM(Keywords!$A$2:$B$14),A1032)))&gt;0,"Negative","Neutral")))</f>
        <v>Positive</v>
      </c>
    </row>
    <row r="1033" spans="1:3" hidden="1" x14ac:dyDescent="0.25">
      <c r="A1033" t="s">
        <v>38</v>
      </c>
      <c r="B1033">
        <v>4</v>
      </c>
      <c r="C1033" t="str">
        <f>IF(AND(SUMPRODUCT(--ISNUMBER(SEARCH(TRIM(Keywords!$A$2:$A$16),A1033)))&gt;0,
        SUMPRODUCT(--ISNUMBER(SEARCH(TRIM(Keywords!$B$2:$B$14),A1033)))&gt;0),"Neutral",
IF(SUMPRODUCT(--ISNUMBER(SEARCH(TRIM(Keywords!$A$2:$A$16),A1033)))&gt;0,"Positive",
IF(SUMPRODUCT(--ISNUMBER(SEARCH(TRIM(Keywords!$A$2:$B$14),A1033)))&gt;0,"Negative","Neutral")))</f>
        <v>Positive</v>
      </c>
    </row>
    <row r="1034" spans="1:3" hidden="1" x14ac:dyDescent="0.25">
      <c r="A1034" t="s">
        <v>2</v>
      </c>
      <c r="B1034">
        <v>4</v>
      </c>
      <c r="C1034" t="str">
        <f>IF(AND(SUMPRODUCT(--ISNUMBER(SEARCH(TRIM(Keywords!$A$2:$A$16),A1034)))&gt;0,
        SUMPRODUCT(--ISNUMBER(SEARCH(TRIM(Keywords!$B$2:$B$14),A1034)))&gt;0),"Neutral",
IF(SUMPRODUCT(--ISNUMBER(SEARCH(TRIM(Keywords!$A$2:$A$16),A1034)))&gt;0,"Positive",
IF(SUMPRODUCT(--ISNUMBER(SEARCH(TRIM(Keywords!$A$2:$B$14),A1034)))&gt;0,"Negative","Neutral")))</f>
        <v>Positive</v>
      </c>
    </row>
    <row r="1035" spans="1:3" x14ac:dyDescent="0.25">
      <c r="A1035" t="s">
        <v>36</v>
      </c>
      <c r="B1035">
        <v>4</v>
      </c>
      <c r="C1035" t="str">
        <f>IF(AND(SUMPRODUCT(--ISNUMBER(SEARCH(TRIM(Keywords!$A$2:$A$16),A1035)))&gt;0,
        SUMPRODUCT(--ISNUMBER(SEARCH(TRIM(Keywords!$B$2:$B$14),A1035)))&gt;0),"Neutral",
IF(SUMPRODUCT(--ISNUMBER(SEARCH(TRIM(Keywords!$A$2:$A$16),A1035)))&gt;0,"Positive",
IF(SUMPRODUCT(--ISNUMBER(SEARCH(TRIM(Keywords!$A$2:$B$14),A1035)))&gt;0,"Negative","Neutral")))</f>
        <v>Neutral</v>
      </c>
    </row>
    <row r="1036" spans="1:3" hidden="1" x14ac:dyDescent="0.25">
      <c r="A1036" t="s">
        <v>408</v>
      </c>
      <c r="B1036">
        <v>5</v>
      </c>
      <c r="C1036" t="str">
        <f>IF(AND(SUMPRODUCT(--ISNUMBER(SEARCH(TRIM(Keywords!$A$2:$A$16),A1036)))&gt;0,
        SUMPRODUCT(--ISNUMBER(SEARCH(TRIM(Keywords!$B$2:$B$14),A1036)))&gt;0),"Neutral",
IF(SUMPRODUCT(--ISNUMBER(SEARCH(TRIM(Keywords!$A$2:$A$16),A1036)))&gt;0,"Positive",
IF(SUMPRODUCT(--ISNUMBER(SEARCH(TRIM(Keywords!$A$2:$B$14),A1036)))&gt;0,"Negative","Neutral")))</f>
        <v>Negative</v>
      </c>
    </row>
    <row r="1037" spans="1:3" hidden="1" x14ac:dyDescent="0.25">
      <c r="A1037" t="s">
        <v>2</v>
      </c>
      <c r="B1037">
        <v>5</v>
      </c>
      <c r="C1037" t="str">
        <f>IF(AND(SUMPRODUCT(--ISNUMBER(SEARCH(TRIM(Keywords!$A$2:$A$16),A1037)))&gt;0,
        SUMPRODUCT(--ISNUMBER(SEARCH(TRIM(Keywords!$B$2:$B$14),A1037)))&gt;0),"Neutral",
IF(SUMPRODUCT(--ISNUMBER(SEARCH(TRIM(Keywords!$A$2:$A$16),A1037)))&gt;0,"Positive",
IF(SUMPRODUCT(--ISNUMBER(SEARCH(TRIM(Keywords!$A$2:$B$14),A1037)))&gt;0,"Negative","Neutral")))</f>
        <v>Positive</v>
      </c>
    </row>
    <row r="1038" spans="1:3" x14ac:dyDescent="0.25">
      <c r="A1038" t="s">
        <v>507</v>
      </c>
      <c r="B1038">
        <v>5</v>
      </c>
      <c r="C1038" t="str">
        <f>IF(AND(SUMPRODUCT(--ISNUMBER(SEARCH(TRIM(Keywords!$A$2:$A$16),A1038)))&gt;0,
        SUMPRODUCT(--ISNUMBER(SEARCH(TRIM(Keywords!$B$2:$B$14),A1038)))&gt;0),"Neutral",
IF(SUMPRODUCT(--ISNUMBER(SEARCH(TRIM(Keywords!$A$2:$A$16),A1038)))&gt;0,"Positive",
IF(SUMPRODUCT(--ISNUMBER(SEARCH(TRIM(Keywords!$A$2:$B$14),A1038)))&gt;0,"Negative","Neutral")))</f>
        <v>Neutral</v>
      </c>
    </row>
    <row r="1039" spans="1:3" hidden="1" x14ac:dyDescent="0.25">
      <c r="A1039" t="s">
        <v>2</v>
      </c>
      <c r="B1039">
        <v>5</v>
      </c>
      <c r="C1039" t="str">
        <f>IF(AND(SUMPRODUCT(--ISNUMBER(SEARCH(TRIM(Keywords!$A$2:$A$16),A1039)))&gt;0,
        SUMPRODUCT(--ISNUMBER(SEARCH(TRIM(Keywords!$B$2:$B$14),A1039)))&gt;0),"Neutral",
IF(SUMPRODUCT(--ISNUMBER(SEARCH(TRIM(Keywords!$A$2:$A$16),A1039)))&gt;0,"Positive",
IF(SUMPRODUCT(--ISNUMBER(SEARCH(TRIM(Keywords!$A$2:$B$14),A1039)))&gt;0,"Negative","Neutral")))</f>
        <v>Positive</v>
      </c>
    </row>
    <row r="1040" spans="1:3" hidden="1" x14ac:dyDescent="0.25">
      <c r="A1040" t="s">
        <v>564</v>
      </c>
      <c r="B1040">
        <v>5</v>
      </c>
      <c r="C1040" t="str">
        <f>IF(AND(SUMPRODUCT(--ISNUMBER(SEARCH(TRIM(Keywords!$A$2:$A$16),A1040)))&gt;0,
        SUMPRODUCT(--ISNUMBER(SEARCH(TRIM(Keywords!$B$2:$B$14),A1040)))&gt;0),"Neutral",
IF(SUMPRODUCT(--ISNUMBER(SEARCH(TRIM(Keywords!$A$2:$A$16),A1040)))&gt;0,"Positive",
IF(SUMPRODUCT(--ISNUMBER(SEARCH(TRIM(Keywords!$A$2:$B$14),A1040)))&gt;0,"Negative","Neutral")))</f>
        <v>Positive</v>
      </c>
    </row>
    <row r="1041" spans="1:3" hidden="1" x14ac:dyDescent="0.25">
      <c r="A1041" t="s">
        <v>230</v>
      </c>
      <c r="B1041">
        <v>4</v>
      </c>
      <c r="C1041" t="str">
        <f>IF(AND(SUMPRODUCT(--ISNUMBER(SEARCH(TRIM(Keywords!$A$2:$A$16),A1041)))&gt;0,
        SUMPRODUCT(--ISNUMBER(SEARCH(TRIM(Keywords!$B$2:$B$14),A1041)))&gt;0),"Neutral",
IF(SUMPRODUCT(--ISNUMBER(SEARCH(TRIM(Keywords!$A$2:$A$16),A1041)))&gt;0,"Positive",
IF(SUMPRODUCT(--ISNUMBER(SEARCH(TRIM(Keywords!$A$2:$B$14),A1041)))&gt;0,"Negative","Neutral")))</f>
        <v>Positive</v>
      </c>
    </row>
    <row r="1042" spans="1:3" hidden="1" x14ac:dyDescent="0.25">
      <c r="A1042" t="s">
        <v>341</v>
      </c>
      <c r="B1042">
        <v>5</v>
      </c>
      <c r="C1042" t="str">
        <f>IF(AND(SUMPRODUCT(--ISNUMBER(SEARCH(TRIM(Keywords!$A$2:$A$16),A1042)))&gt;0,
        SUMPRODUCT(--ISNUMBER(SEARCH(TRIM(Keywords!$B$2:$B$14),A1042)))&gt;0),"Neutral",
IF(SUMPRODUCT(--ISNUMBER(SEARCH(TRIM(Keywords!$A$2:$A$16),A1042)))&gt;0,"Positive",
IF(SUMPRODUCT(--ISNUMBER(SEARCH(TRIM(Keywords!$A$2:$B$14),A1042)))&gt;0,"Negative","Neutral")))</f>
        <v>Positive</v>
      </c>
    </row>
    <row r="1043" spans="1:3" x14ac:dyDescent="0.25">
      <c r="A1043" t="s">
        <v>565</v>
      </c>
      <c r="B1043">
        <v>2</v>
      </c>
      <c r="C1043" t="str">
        <f>IF(AND(SUMPRODUCT(--ISNUMBER(SEARCH(TRIM(Keywords!$A$2:$A$16),A1043)))&gt;0,
        SUMPRODUCT(--ISNUMBER(SEARCH(TRIM(Keywords!$B$2:$B$14),A1043)))&gt;0),"Neutral",
IF(SUMPRODUCT(--ISNUMBER(SEARCH(TRIM(Keywords!$A$2:$A$16),A1043)))&gt;0,"Positive",
IF(SUMPRODUCT(--ISNUMBER(SEARCH(TRIM(Keywords!$A$2:$B$14),A1043)))&gt;0,"Negative","Neutral")))</f>
        <v>Neutral</v>
      </c>
    </row>
    <row r="1044" spans="1:3" x14ac:dyDescent="0.25">
      <c r="A1044" t="s">
        <v>36</v>
      </c>
      <c r="B1044">
        <v>5</v>
      </c>
      <c r="C1044" t="str">
        <f>IF(AND(SUMPRODUCT(--ISNUMBER(SEARCH(TRIM(Keywords!$A$2:$A$16),A1044)))&gt;0,
        SUMPRODUCT(--ISNUMBER(SEARCH(TRIM(Keywords!$B$2:$B$14),A1044)))&gt;0),"Neutral",
IF(SUMPRODUCT(--ISNUMBER(SEARCH(TRIM(Keywords!$A$2:$A$16),A1044)))&gt;0,"Positive",
IF(SUMPRODUCT(--ISNUMBER(SEARCH(TRIM(Keywords!$A$2:$B$14),A1044)))&gt;0,"Negative","Neutral")))</f>
        <v>Neutral</v>
      </c>
    </row>
    <row r="1045" spans="1:3" hidden="1" x14ac:dyDescent="0.25">
      <c r="A1045" t="s">
        <v>24</v>
      </c>
      <c r="B1045">
        <v>5</v>
      </c>
      <c r="C1045" t="str">
        <f>IF(AND(SUMPRODUCT(--ISNUMBER(SEARCH(TRIM(Keywords!$A$2:$A$16),A1045)))&gt;0,
        SUMPRODUCT(--ISNUMBER(SEARCH(TRIM(Keywords!$B$2:$B$14),A1045)))&gt;0),"Neutral",
IF(SUMPRODUCT(--ISNUMBER(SEARCH(TRIM(Keywords!$A$2:$A$16),A1045)))&gt;0,"Positive",
IF(SUMPRODUCT(--ISNUMBER(SEARCH(TRIM(Keywords!$A$2:$B$14),A1045)))&gt;0,"Negative","Neutral")))</f>
        <v>Positive</v>
      </c>
    </row>
    <row r="1046" spans="1:3" x14ac:dyDescent="0.25">
      <c r="A1046" t="s">
        <v>566</v>
      </c>
      <c r="B1046">
        <v>5</v>
      </c>
      <c r="C1046" t="str">
        <f>IF(AND(SUMPRODUCT(--ISNUMBER(SEARCH(TRIM(Keywords!$A$2:$A$16),A1046)))&gt;0,
        SUMPRODUCT(--ISNUMBER(SEARCH(TRIM(Keywords!$B$2:$B$14),A1046)))&gt;0),"Neutral",
IF(SUMPRODUCT(--ISNUMBER(SEARCH(TRIM(Keywords!$A$2:$A$16),A1046)))&gt;0,"Positive",
IF(SUMPRODUCT(--ISNUMBER(SEARCH(TRIM(Keywords!$A$2:$B$14),A1046)))&gt;0,"Negative","Neutral")))</f>
        <v>Neutral</v>
      </c>
    </row>
    <row r="1047" spans="1:3" x14ac:dyDescent="0.25">
      <c r="A1047" t="s">
        <v>34</v>
      </c>
      <c r="B1047">
        <v>5</v>
      </c>
      <c r="C1047" t="str">
        <f>IF(AND(SUMPRODUCT(--ISNUMBER(SEARCH(TRIM(Keywords!$A$2:$A$16),A1047)))&gt;0,
        SUMPRODUCT(--ISNUMBER(SEARCH(TRIM(Keywords!$B$2:$B$14),A1047)))&gt;0),"Neutral",
IF(SUMPRODUCT(--ISNUMBER(SEARCH(TRIM(Keywords!$A$2:$A$16),A1047)))&gt;0,"Positive",
IF(SUMPRODUCT(--ISNUMBER(SEARCH(TRIM(Keywords!$A$2:$B$14),A1047)))&gt;0,"Negative","Neutral")))</f>
        <v>Neutral</v>
      </c>
    </row>
    <row r="1048" spans="1:3" x14ac:dyDescent="0.25">
      <c r="A1048" t="s">
        <v>567</v>
      </c>
      <c r="B1048">
        <v>5</v>
      </c>
      <c r="C1048" t="str">
        <f>IF(AND(SUMPRODUCT(--ISNUMBER(SEARCH(TRIM(Keywords!$A$2:$A$16),A1048)))&gt;0,
        SUMPRODUCT(--ISNUMBER(SEARCH(TRIM(Keywords!$B$2:$B$14),A1048)))&gt;0),"Neutral",
IF(SUMPRODUCT(--ISNUMBER(SEARCH(TRIM(Keywords!$A$2:$A$16),A1048)))&gt;0,"Positive",
IF(SUMPRODUCT(--ISNUMBER(SEARCH(TRIM(Keywords!$A$2:$B$14),A1048)))&gt;0,"Negative","Neutral")))</f>
        <v>Neutral</v>
      </c>
    </row>
    <row r="1049" spans="1:3" hidden="1" x14ac:dyDescent="0.25">
      <c r="A1049" t="s">
        <v>37</v>
      </c>
      <c r="B1049">
        <v>4</v>
      </c>
      <c r="C1049" t="str">
        <f>IF(AND(SUMPRODUCT(--ISNUMBER(SEARCH(TRIM(Keywords!$A$2:$A$16),A1049)))&gt;0,
        SUMPRODUCT(--ISNUMBER(SEARCH(TRIM(Keywords!$B$2:$B$14),A1049)))&gt;0),"Neutral",
IF(SUMPRODUCT(--ISNUMBER(SEARCH(TRIM(Keywords!$A$2:$A$16),A1049)))&gt;0,"Positive",
IF(SUMPRODUCT(--ISNUMBER(SEARCH(TRIM(Keywords!$A$2:$B$14),A1049)))&gt;0,"Negative","Neutral")))</f>
        <v>Positive</v>
      </c>
    </row>
    <row r="1050" spans="1:3" hidden="1" x14ac:dyDescent="0.25">
      <c r="A1050" t="s">
        <v>2</v>
      </c>
      <c r="B1050">
        <v>5</v>
      </c>
      <c r="C1050" t="str">
        <f>IF(AND(SUMPRODUCT(--ISNUMBER(SEARCH(TRIM(Keywords!$A$2:$A$16),A1050)))&gt;0,
        SUMPRODUCT(--ISNUMBER(SEARCH(TRIM(Keywords!$B$2:$B$14),A1050)))&gt;0),"Neutral",
IF(SUMPRODUCT(--ISNUMBER(SEARCH(TRIM(Keywords!$A$2:$A$16),A1050)))&gt;0,"Positive",
IF(SUMPRODUCT(--ISNUMBER(SEARCH(TRIM(Keywords!$A$2:$B$14),A1050)))&gt;0,"Negative","Neutral")))</f>
        <v>Positive</v>
      </c>
    </row>
    <row r="1051" spans="1:3" hidden="1" x14ac:dyDescent="0.25">
      <c r="A1051" t="s">
        <v>568</v>
      </c>
      <c r="B1051">
        <v>5</v>
      </c>
      <c r="C1051" t="str">
        <f>IF(AND(SUMPRODUCT(--ISNUMBER(SEARCH(TRIM(Keywords!$A$2:$A$16),A1051)))&gt;0,
        SUMPRODUCT(--ISNUMBER(SEARCH(TRIM(Keywords!$B$2:$B$14),A1051)))&gt;0),"Neutral",
IF(SUMPRODUCT(--ISNUMBER(SEARCH(TRIM(Keywords!$A$2:$A$16),A1051)))&gt;0,"Positive",
IF(SUMPRODUCT(--ISNUMBER(SEARCH(TRIM(Keywords!$A$2:$B$14),A1051)))&gt;0,"Negative","Neutral")))</f>
        <v>Positive</v>
      </c>
    </row>
    <row r="1052" spans="1:3" hidden="1" x14ac:dyDescent="0.25">
      <c r="A1052" t="s">
        <v>569</v>
      </c>
      <c r="B1052">
        <v>5</v>
      </c>
      <c r="C1052" t="str">
        <f>IF(AND(SUMPRODUCT(--ISNUMBER(SEARCH(TRIM(Keywords!$A$2:$A$16),A1052)))&gt;0,
        SUMPRODUCT(--ISNUMBER(SEARCH(TRIM(Keywords!$B$2:$B$14),A1052)))&gt;0),"Neutral",
IF(SUMPRODUCT(--ISNUMBER(SEARCH(TRIM(Keywords!$A$2:$A$16),A1052)))&gt;0,"Positive",
IF(SUMPRODUCT(--ISNUMBER(SEARCH(TRIM(Keywords!$A$2:$B$14),A1052)))&gt;0,"Negative","Neutral")))</f>
        <v>Positive</v>
      </c>
    </row>
    <row r="1053" spans="1:3" x14ac:dyDescent="0.25">
      <c r="A1053" t="s">
        <v>570</v>
      </c>
      <c r="B1053">
        <v>5</v>
      </c>
      <c r="C1053" t="str">
        <f>IF(AND(SUMPRODUCT(--ISNUMBER(SEARCH(TRIM(Keywords!$A$2:$A$16),A1053)))&gt;0,
        SUMPRODUCT(--ISNUMBER(SEARCH(TRIM(Keywords!$B$2:$B$14),A1053)))&gt;0),"Neutral",
IF(SUMPRODUCT(--ISNUMBER(SEARCH(TRIM(Keywords!$A$2:$A$16),A1053)))&gt;0,"Positive",
IF(SUMPRODUCT(--ISNUMBER(SEARCH(TRIM(Keywords!$A$2:$B$14),A1053)))&gt;0,"Negative","Neutral")))</f>
        <v>Neutral</v>
      </c>
    </row>
    <row r="1054" spans="1:3" x14ac:dyDescent="0.25">
      <c r="A1054" t="s">
        <v>571</v>
      </c>
      <c r="B1054">
        <v>1</v>
      </c>
      <c r="C1054" t="str">
        <f>IF(AND(SUMPRODUCT(--ISNUMBER(SEARCH(TRIM(Keywords!$A$2:$A$16),A1054)))&gt;0,
        SUMPRODUCT(--ISNUMBER(SEARCH(TRIM(Keywords!$B$2:$B$14),A1054)))&gt;0),"Neutral",
IF(SUMPRODUCT(--ISNUMBER(SEARCH(TRIM(Keywords!$A$2:$A$16),A1054)))&gt;0,"Positive",
IF(SUMPRODUCT(--ISNUMBER(SEARCH(TRIM(Keywords!$A$2:$B$14),A1054)))&gt;0,"Negative","Neutral")))</f>
        <v>Neutral</v>
      </c>
    </row>
    <row r="1055" spans="1:3" x14ac:dyDescent="0.25">
      <c r="A1055" t="s">
        <v>36</v>
      </c>
      <c r="B1055">
        <v>5</v>
      </c>
      <c r="C1055" t="str">
        <f>IF(AND(SUMPRODUCT(--ISNUMBER(SEARCH(TRIM(Keywords!$A$2:$A$16),A1055)))&gt;0,
        SUMPRODUCT(--ISNUMBER(SEARCH(TRIM(Keywords!$B$2:$B$14),A1055)))&gt;0),"Neutral",
IF(SUMPRODUCT(--ISNUMBER(SEARCH(TRIM(Keywords!$A$2:$A$16),A1055)))&gt;0,"Positive",
IF(SUMPRODUCT(--ISNUMBER(SEARCH(TRIM(Keywords!$A$2:$B$14),A1055)))&gt;0,"Negative","Neutral")))</f>
        <v>Neutral</v>
      </c>
    </row>
    <row r="1056" spans="1:3" hidden="1" x14ac:dyDescent="0.25">
      <c r="A1056" t="s">
        <v>37</v>
      </c>
      <c r="B1056">
        <v>5</v>
      </c>
      <c r="C1056" t="str">
        <f>IF(AND(SUMPRODUCT(--ISNUMBER(SEARCH(TRIM(Keywords!$A$2:$A$16),A1056)))&gt;0,
        SUMPRODUCT(--ISNUMBER(SEARCH(TRIM(Keywords!$B$2:$B$14),A1056)))&gt;0),"Neutral",
IF(SUMPRODUCT(--ISNUMBER(SEARCH(TRIM(Keywords!$A$2:$A$16),A1056)))&gt;0,"Positive",
IF(SUMPRODUCT(--ISNUMBER(SEARCH(TRIM(Keywords!$A$2:$B$14),A1056)))&gt;0,"Negative","Neutral")))</f>
        <v>Positive</v>
      </c>
    </row>
    <row r="1057" spans="1:3" hidden="1" x14ac:dyDescent="0.25">
      <c r="A1057" t="s">
        <v>12</v>
      </c>
      <c r="B1057">
        <v>5</v>
      </c>
      <c r="C1057" t="str">
        <f>IF(AND(SUMPRODUCT(--ISNUMBER(SEARCH(TRIM(Keywords!$A$2:$A$16),A1057)))&gt;0,
        SUMPRODUCT(--ISNUMBER(SEARCH(TRIM(Keywords!$B$2:$B$14),A1057)))&gt;0),"Neutral",
IF(SUMPRODUCT(--ISNUMBER(SEARCH(TRIM(Keywords!$A$2:$A$16),A1057)))&gt;0,"Positive",
IF(SUMPRODUCT(--ISNUMBER(SEARCH(TRIM(Keywords!$A$2:$B$14),A1057)))&gt;0,"Negative","Neutral")))</f>
        <v>Positive</v>
      </c>
    </row>
    <row r="1058" spans="1:3" hidden="1" x14ac:dyDescent="0.25">
      <c r="A1058" t="s">
        <v>2</v>
      </c>
      <c r="B1058">
        <v>5</v>
      </c>
      <c r="C1058" t="str">
        <f>IF(AND(SUMPRODUCT(--ISNUMBER(SEARCH(TRIM(Keywords!$A$2:$A$16),A1058)))&gt;0,
        SUMPRODUCT(--ISNUMBER(SEARCH(TRIM(Keywords!$B$2:$B$14),A1058)))&gt;0),"Neutral",
IF(SUMPRODUCT(--ISNUMBER(SEARCH(TRIM(Keywords!$A$2:$A$16),A1058)))&gt;0,"Positive",
IF(SUMPRODUCT(--ISNUMBER(SEARCH(TRIM(Keywords!$A$2:$B$14),A1058)))&gt;0,"Negative","Neutral")))</f>
        <v>Positive</v>
      </c>
    </row>
    <row r="1059" spans="1:3" x14ac:dyDescent="0.25">
      <c r="A1059" t="s">
        <v>572</v>
      </c>
      <c r="B1059">
        <v>1</v>
      </c>
      <c r="C1059" t="str">
        <f>IF(AND(SUMPRODUCT(--ISNUMBER(SEARCH(TRIM(Keywords!$A$2:$A$16),A1059)))&gt;0,
        SUMPRODUCT(--ISNUMBER(SEARCH(TRIM(Keywords!$B$2:$B$14),A1059)))&gt;0),"Neutral",
IF(SUMPRODUCT(--ISNUMBER(SEARCH(TRIM(Keywords!$A$2:$A$16),A1059)))&gt;0,"Positive",
IF(SUMPRODUCT(--ISNUMBER(SEARCH(TRIM(Keywords!$A$2:$B$14),A1059)))&gt;0,"Negative","Neutral")))</f>
        <v>Neutral</v>
      </c>
    </row>
    <row r="1060" spans="1:3" hidden="1" x14ac:dyDescent="0.25">
      <c r="A1060" t="s">
        <v>362</v>
      </c>
      <c r="B1060">
        <v>5</v>
      </c>
      <c r="C1060" t="str">
        <f>IF(AND(SUMPRODUCT(--ISNUMBER(SEARCH(TRIM(Keywords!$A$2:$A$16),A1060)))&gt;0,
        SUMPRODUCT(--ISNUMBER(SEARCH(TRIM(Keywords!$B$2:$B$14),A1060)))&gt;0),"Neutral",
IF(SUMPRODUCT(--ISNUMBER(SEARCH(TRIM(Keywords!$A$2:$A$16),A1060)))&gt;0,"Positive",
IF(SUMPRODUCT(--ISNUMBER(SEARCH(TRIM(Keywords!$A$2:$B$14),A1060)))&gt;0,"Negative","Neutral")))</f>
        <v>Positive</v>
      </c>
    </row>
    <row r="1061" spans="1:3" hidden="1" x14ac:dyDescent="0.25">
      <c r="A1061" t="s">
        <v>2</v>
      </c>
      <c r="B1061">
        <v>5</v>
      </c>
      <c r="C1061" t="str">
        <f>IF(AND(SUMPRODUCT(--ISNUMBER(SEARCH(TRIM(Keywords!$A$2:$A$16),A1061)))&gt;0,
        SUMPRODUCT(--ISNUMBER(SEARCH(TRIM(Keywords!$B$2:$B$14),A1061)))&gt;0),"Neutral",
IF(SUMPRODUCT(--ISNUMBER(SEARCH(TRIM(Keywords!$A$2:$A$16),A1061)))&gt;0,"Positive",
IF(SUMPRODUCT(--ISNUMBER(SEARCH(TRIM(Keywords!$A$2:$B$14),A1061)))&gt;0,"Negative","Neutral")))</f>
        <v>Positive</v>
      </c>
    </row>
    <row r="1062" spans="1:3" hidden="1" x14ac:dyDescent="0.25">
      <c r="A1062" t="s">
        <v>2</v>
      </c>
      <c r="B1062">
        <v>5</v>
      </c>
      <c r="C1062" t="str">
        <f>IF(AND(SUMPRODUCT(--ISNUMBER(SEARCH(TRIM(Keywords!$A$2:$A$16),A1062)))&gt;0,
        SUMPRODUCT(--ISNUMBER(SEARCH(TRIM(Keywords!$B$2:$B$14),A1062)))&gt;0),"Neutral",
IF(SUMPRODUCT(--ISNUMBER(SEARCH(TRIM(Keywords!$A$2:$A$16),A1062)))&gt;0,"Positive",
IF(SUMPRODUCT(--ISNUMBER(SEARCH(TRIM(Keywords!$A$2:$B$14),A1062)))&gt;0,"Negative","Neutral")))</f>
        <v>Positive</v>
      </c>
    </row>
    <row r="1063" spans="1:3" x14ac:dyDescent="0.25">
      <c r="A1063" t="s">
        <v>573</v>
      </c>
      <c r="B1063">
        <v>1</v>
      </c>
      <c r="C1063" t="str">
        <f>IF(AND(SUMPRODUCT(--ISNUMBER(SEARCH(TRIM(Keywords!$A$2:$A$16),A1063)))&gt;0,
        SUMPRODUCT(--ISNUMBER(SEARCH(TRIM(Keywords!$B$2:$B$14),A1063)))&gt;0),"Neutral",
IF(SUMPRODUCT(--ISNUMBER(SEARCH(TRIM(Keywords!$A$2:$A$16),A1063)))&gt;0,"Positive",
IF(SUMPRODUCT(--ISNUMBER(SEARCH(TRIM(Keywords!$A$2:$B$14),A1063)))&gt;0,"Negative","Neutral")))</f>
        <v>Neutral</v>
      </c>
    </row>
    <row r="1064" spans="1:3" hidden="1" x14ac:dyDescent="0.25">
      <c r="A1064" t="s">
        <v>2</v>
      </c>
      <c r="B1064">
        <v>4</v>
      </c>
      <c r="C1064" t="str">
        <f>IF(AND(SUMPRODUCT(--ISNUMBER(SEARCH(TRIM(Keywords!$A$2:$A$16),A1064)))&gt;0,
        SUMPRODUCT(--ISNUMBER(SEARCH(TRIM(Keywords!$B$2:$B$14),A1064)))&gt;0),"Neutral",
IF(SUMPRODUCT(--ISNUMBER(SEARCH(TRIM(Keywords!$A$2:$A$16),A1064)))&gt;0,"Positive",
IF(SUMPRODUCT(--ISNUMBER(SEARCH(TRIM(Keywords!$A$2:$B$14),A1064)))&gt;0,"Negative","Neutral")))</f>
        <v>Positive</v>
      </c>
    </row>
    <row r="1065" spans="1:3" hidden="1" x14ac:dyDescent="0.25">
      <c r="A1065" t="s">
        <v>53</v>
      </c>
      <c r="B1065">
        <v>5</v>
      </c>
      <c r="C1065" t="str">
        <f>IF(AND(SUMPRODUCT(--ISNUMBER(SEARCH(TRIM(Keywords!$A$2:$A$16),A1065)))&gt;0,
        SUMPRODUCT(--ISNUMBER(SEARCH(TRIM(Keywords!$B$2:$B$14),A1065)))&gt;0),"Neutral",
IF(SUMPRODUCT(--ISNUMBER(SEARCH(TRIM(Keywords!$A$2:$A$16),A1065)))&gt;0,"Positive",
IF(SUMPRODUCT(--ISNUMBER(SEARCH(TRIM(Keywords!$A$2:$B$14),A1065)))&gt;0,"Negative","Neutral")))</f>
        <v>Positive</v>
      </c>
    </row>
    <row r="1066" spans="1:3" x14ac:dyDescent="0.25">
      <c r="A1066" t="s">
        <v>574</v>
      </c>
      <c r="B1066">
        <v>5</v>
      </c>
      <c r="C1066" t="str">
        <f>IF(AND(SUMPRODUCT(--ISNUMBER(SEARCH(TRIM(Keywords!$A$2:$A$16),A1066)))&gt;0,
        SUMPRODUCT(--ISNUMBER(SEARCH(TRIM(Keywords!$B$2:$B$14),A1066)))&gt;0),"Neutral",
IF(SUMPRODUCT(--ISNUMBER(SEARCH(TRIM(Keywords!$A$2:$A$16),A1066)))&gt;0,"Positive",
IF(SUMPRODUCT(--ISNUMBER(SEARCH(TRIM(Keywords!$A$2:$B$14),A1066)))&gt;0,"Negative","Neutral")))</f>
        <v>Neutral</v>
      </c>
    </row>
    <row r="1067" spans="1:3" hidden="1" x14ac:dyDescent="0.25">
      <c r="A1067" t="s">
        <v>575</v>
      </c>
      <c r="B1067">
        <v>2</v>
      </c>
      <c r="C1067" t="str">
        <f>IF(AND(SUMPRODUCT(--ISNUMBER(SEARCH(TRIM(Keywords!$A$2:$A$16),A1067)))&gt;0,
        SUMPRODUCT(--ISNUMBER(SEARCH(TRIM(Keywords!$B$2:$B$14),A1067)))&gt;0),"Neutral",
IF(SUMPRODUCT(--ISNUMBER(SEARCH(TRIM(Keywords!$A$2:$A$16),A1067)))&gt;0,"Positive",
IF(SUMPRODUCT(--ISNUMBER(SEARCH(TRIM(Keywords!$A$2:$B$14),A1067)))&gt;0,"Negative","Neutral")))</f>
        <v>Negative</v>
      </c>
    </row>
    <row r="1068" spans="1:3" hidden="1" x14ac:dyDescent="0.25">
      <c r="A1068" t="s">
        <v>2</v>
      </c>
      <c r="B1068">
        <v>5</v>
      </c>
      <c r="C1068" t="str">
        <f>IF(AND(SUMPRODUCT(--ISNUMBER(SEARCH(TRIM(Keywords!$A$2:$A$16),A1068)))&gt;0,
        SUMPRODUCT(--ISNUMBER(SEARCH(TRIM(Keywords!$B$2:$B$14),A1068)))&gt;0),"Neutral",
IF(SUMPRODUCT(--ISNUMBER(SEARCH(TRIM(Keywords!$A$2:$A$16),A1068)))&gt;0,"Positive",
IF(SUMPRODUCT(--ISNUMBER(SEARCH(TRIM(Keywords!$A$2:$B$14),A1068)))&gt;0,"Negative","Neutral")))</f>
        <v>Positive</v>
      </c>
    </row>
    <row r="1069" spans="1:3" hidden="1" x14ac:dyDescent="0.25">
      <c r="A1069" t="s">
        <v>2</v>
      </c>
      <c r="B1069">
        <v>5</v>
      </c>
      <c r="C1069" t="str">
        <f>IF(AND(SUMPRODUCT(--ISNUMBER(SEARCH(TRIM(Keywords!$A$2:$A$16),A1069)))&gt;0,
        SUMPRODUCT(--ISNUMBER(SEARCH(TRIM(Keywords!$B$2:$B$14),A1069)))&gt;0),"Neutral",
IF(SUMPRODUCT(--ISNUMBER(SEARCH(TRIM(Keywords!$A$2:$A$16),A1069)))&gt;0,"Positive",
IF(SUMPRODUCT(--ISNUMBER(SEARCH(TRIM(Keywords!$A$2:$B$14),A1069)))&gt;0,"Negative","Neutral")))</f>
        <v>Positive</v>
      </c>
    </row>
    <row r="1070" spans="1:3" hidden="1" x14ac:dyDescent="0.25">
      <c r="A1070" t="s">
        <v>576</v>
      </c>
      <c r="B1070">
        <v>2</v>
      </c>
      <c r="C1070" t="str">
        <f>IF(AND(SUMPRODUCT(--ISNUMBER(SEARCH(TRIM(Keywords!$A$2:$A$16),A1070)))&gt;0,
        SUMPRODUCT(--ISNUMBER(SEARCH(TRIM(Keywords!$B$2:$B$14),A1070)))&gt;0),"Neutral",
IF(SUMPRODUCT(--ISNUMBER(SEARCH(TRIM(Keywords!$A$2:$A$16),A1070)))&gt;0,"Positive",
IF(SUMPRODUCT(--ISNUMBER(SEARCH(TRIM(Keywords!$A$2:$B$14),A1070)))&gt;0,"Negative","Neutral")))</f>
        <v>Negative</v>
      </c>
    </row>
    <row r="1071" spans="1:3" hidden="1" x14ac:dyDescent="0.25">
      <c r="A1071" t="s">
        <v>38</v>
      </c>
      <c r="B1071">
        <v>5</v>
      </c>
      <c r="C1071" t="str">
        <f>IF(AND(SUMPRODUCT(--ISNUMBER(SEARCH(TRIM(Keywords!$A$2:$A$16),A1071)))&gt;0,
        SUMPRODUCT(--ISNUMBER(SEARCH(TRIM(Keywords!$B$2:$B$14),A1071)))&gt;0),"Neutral",
IF(SUMPRODUCT(--ISNUMBER(SEARCH(TRIM(Keywords!$A$2:$A$16),A1071)))&gt;0,"Positive",
IF(SUMPRODUCT(--ISNUMBER(SEARCH(TRIM(Keywords!$A$2:$B$14),A1071)))&gt;0,"Negative","Neutral")))</f>
        <v>Positive</v>
      </c>
    </row>
    <row r="1072" spans="1:3" hidden="1" x14ac:dyDescent="0.25">
      <c r="A1072" t="s">
        <v>577</v>
      </c>
      <c r="B1072">
        <v>5</v>
      </c>
      <c r="C1072" t="str">
        <f>IF(AND(SUMPRODUCT(--ISNUMBER(SEARCH(TRIM(Keywords!$A$2:$A$16),A1072)))&gt;0,
        SUMPRODUCT(--ISNUMBER(SEARCH(TRIM(Keywords!$B$2:$B$14),A1072)))&gt;0),"Neutral",
IF(SUMPRODUCT(--ISNUMBER(SEARCH(TRIM(Keywords!$A$2:$A$16),A1072)))&gt;0,"Positive",
IF(SUMPRODUCT(--ISNUMBER(SEARCH(TRIM(Keywords!$A$2:$B$14),A1072)))&gt;0,"Negative","Neutral")))</f>
        <v>Positive</v>
      </c>
    </row>
    <row r="1073" spans="1:3" hidden="1" x14ac:dyDescent="0.25">
      <c r="A1073" t="s">
        <v>2</v>
      </c>
      <c r="B1073">
        <v>5</v>
      </c>
      <c r="C1073" t="str">
        <f>IF(AND(SUMPRODUCT(--ISNUMBER(SEARCH(TRIM(Keywords!$A$2:$A$16),A1073)))&gt;0,
        SUMPRODUCT(--ISNUMBER(SEARCH(TRIM(Keywords!$B$2:$B$14),A1073)))&gt;0),"Neutral",
IF(SUMPRODUCT(--ISNUMBER(SEARCH(TRIM(Keywords!$A$2:$A$16),A1073)))&gt;0,"Positive",
IF(SUMPRODUCT(--ISNUMBER(SEARCH(TRIM(Keywords!$A$2:$B$14),A1073)))&gt;0,"Negative","Neutral")))</f>
        <v>Positive</v>
      </c>
    </row>
    <row r="1074" spans="1:3" x14ac:dyDescent="0.25">
      <c r="A1074" t="s">
        <v>578</v>
      </c>
      <c r="B1074">
        <v>5</v>
      </c>
      <c r="C1074" t="str">
        <f>IF(AND(SUMPRODUCT(--ISNUMBER(SEARCH(TRIM(Keywords!$A$2:$A$16),A1074)))&gt;0,
        SUMPRODUCT(--ISNUMBER(SEARCH(TRIM(Keywords!$B$2:$B$14),A1074)))&gt;0),"Neutral",
IF(SUMPRODUCT(--ISNUMBER(SEARCH(TRIM(Keywords!$A$2:$A$16),A1074)))&gt;0,"Positive",
IF(SUMPRODUCT(--ISNUMBER(SEARCH(TRIM(Keywords!$A$2:$B$14),A1074)))&gt;0,"Negative","Neutral")))</f>
        <v>Neutral</v>
      </c>
    </row>
    <row r="1075" spans="1:3" x14ac:dyDescent="0.25">
      <c r="A1075" t="s">
        <v>36</v>
      </c>
      <c r="B1075">
        <v>5</v>
      </c>
      <c r="C1075" t="str">
        <f>IF(AND(SUMPRODUCT(--ISNUMBER(SEARCH(TRIM(Keywords!$A$2:$A$16),A1075)))&gt;0,
        SUMPRODUCT(--ISNUMBER(SEARCH(TRIM(Keywords!$B$2:$B$14),A1075)))&gt;0),"Neutral",
IF(SUMPRODUCT(--ISNUMBER(SEARCH(TRIM(Keywords!$A$2:$A$16),A1075)))&gt;0,"Positive",
IF(SUMPRODUCT(--ISNUMBER(SEARCH(TRIM(Keywords!$A$2:$B$14),A1075)))&gt;0,"Negative","Neutral")))</f>
        <v>Neutral</v>
      </c>
    </row>
    <row r="1076" spans="1:3" hidden="1" x14ac:dyDescent="0.25">
      <c r="A1076" t="s">
        <v>2</v>
      </c>
      <c r="B1076">
        <v>5</v>
      </c>
      <c r="C1076" t="str">
        <f>IF(AND(SUMPRODUCT(--ISNUMBER(SEARCH(TRIM(Keywords!$A$2:$A$16),A1076)))&gt;0,
        SUMPRODUCT(--ISNUMBER(SEARCH(TRIM(Keywords!$B$2:$B$14),A1076)))&gt;0),"Neutral",
IF(SUMPRODUCT(--ISNUMBER(SEARCH(TRIM(Keywords!$A$2:$A$16),A1076)))&gt;0,"Positive",
IF(SUMPRODUCT(--ISNUMBER(SEARCH(TRIM(Keywords!$A$2:$B$14),A1076)))&gt;0,"Negative","Neutral")))</f>
        <v>Positive</v>
      </c>
    </row>
    <row r="1077" spans="1:3" x14ac:dyDescent="0.25">
      <c r="A1077" t="s">
        <v>36</v>
      </c>
      <c r="B1077">
        <v>5</v>
      </c>
      <c r="C1077" t="str">
        <f>IF(AND(SUMPRODUCT(--ISNUMBER(SEARCH(TRIM(Keywords!$A$2:$A$16),A1077)))&gt;0,
        SUMPRODUCT(--ISNUMBER(SEARCH(TRIM(Keywords!$B$2:$B$14),A1077)))&gt;0),"Neutral",
IF(SUMPRODUCT(--ISNUMBER(SEARCH(TRIM(Keywords!$A$2:$A$16),A1077)))&gt;0,"Positive",
IF(SUMPRODUCT(--ISNUMBER(SEARCH(TRIM(Keywords!$A$2:$B$14),A1077)))&gt;0,"Negative","Neutral")))</f>
        <v>Neutral</v>
      </c>
    </row>
    <row r="1078" spans="1:3" hidden="1" x14ac:dyDescent="0.25">
      <c r="A1078" t="s">
        <v>579</v>
      </c>
      <c r="B1078">
        <v>5</v>
      </c>
      <c r="C1078" t="str">
        <f>IF(AND(SUMPRODUCT(--ISNUMBER(SEARCH(TRIM(Keywords!$A$2:$A$16),A1078)))&gt;0,
        SUMPRODUCT(--ISNUMBER(SEARCH(TRIM(Keywords!$B$2:$B$14),A1078)))&gt;0),"Neutral",
IF(SUMPRODUCT(--ISNUMBER(SEARCH(TRIM(Keywords!$A$2:$A$16),A1078)))&gt;0,"Positive",
IF(SUMPRODUCT(--ISNUMBER(SEARCH(TRIM(Keywords!$A$2:$B$14),A1078)))&gt;0,"Negative","Neutral")))</f>
        <v>Positive</v>
      </c>
    </row>
    <row r="1079" spans="1:3" hidden="1" x14ac:dyDescent="0.25">
      <c r="A1079" t="s">
        <v>12</v>
      </c>
      <c r="B1079">
        <v>4</v>
      </c>
      <c r="C1079" t="str">
        <f>IF(AND(SUMPRODUCT(--ISNUMBER(SEARCH(TRIM(Keywords!$A$2:$A$16),A1079)))&gt;0,
        SUMPRODUCT(--ISNUMBER(SEARCH(TRIM(Keywords!$B$2:$B$14),A1079)))&gt;0),"Neutral",
IF(SUMPRODUCT(--ISNUMBER(SEARCH(TRIM(Keywords!$A$2:$A$16),A1079)))&gt;0,"Positive",
IF(SUMPRODUCT(--ISNUMBER(SEARCH(TRIM(Keywords!$A$2:$B$14),A1079)))&gt;0,"Negative","Neutral")))</f>
        <v>Positive</v>
      </c>
    </row>
    <row r="1080" spans="1:3" hidden="1" x14ac:dyDescent="0.25">
      <c r="A1080" t="s">
        <v>2</v>
      </c>
      <c r="B1080">
        <v>5</v>
      </c>
      <c r="C1080" t="str">
        <f>IF(AND(SUMPRODUCT(--ISNUMBER(SEARCH(TRIM(Keywords!$A$2:$A$16),A1080)))&gt;0,
        SUMPRODUCT(--ISNUMBER(SEARCH(TRIM(Keywords!$B$2:$B$14),A1080)))&gt;0),"Neutral",
IF(SUMPRODUCT(--ISNUMBER(SEARCH(TRIM(Keywords!$A$2:$A$16),A1080)))&gt;0,"Positive",
IF(SUMPRODUCT(--ISNUMBER(SEARCH(TRIM(Keywords!$A$2:$B$14),A1080)))&gt;0,"Negative","Neutral")))</f>
        <v>Positive</v>
      </c>
    </row>
    <row r="1081" spans="1:3" hidden="1" x14ac:dyDescent="0.25">
      <c r="A1081" t="s">
        <v>580</v>
      </c>
      <c r="B1081">
        <v>5</v>
      </c>
      <c r="C1081" t="str">
        <f>IF(AND(SUMPRODUCT(--ISNUMBER(SEARCH(TRIM(Keywords!$A$2:$A$16),A1081)))&gt;0,
        SUMPRODUCT(--ISNUMBER(SEARCH(TRIM(Keywords!$B$2:$B$14),A1081)))&gt;0),"Neutral",
IF(SUMPRODUCT(--ISNUMBER(SEARCH(TRIM(Keywords!$A$2:$A$16),A1081)))&gt;0,"Positive",
IF(SUMPRODUCT(--ISNUMBER(SEARCH(TRIM(Keywords!$A$2:$B$14),A1081)))&gt;0,"Negative","Neutral")))</f>
        <v>Negative</v>
      </c>
    </row>
    <row r="1082" spans="1:3" hidden="1" x14ac:dyDescent="0.25">
      <c r="A1082" t="s">
        <v>2</v>
      </c>
      <c r="B1082">
        <v>5</v>
      </c>
      <c r="C1082" t="str">
        <f>IF(AND(SUMPRODUCT(--ISNUMBER(SEARCH(TRIM(Keywords!$A$2:$A$16),A1082)))&gt;0,
        SUMPRODUCT(--ISNUMBER(SEARCH(TRIM(Keywords!$B$2:$B$14),A1082)))&gt;0),"Neutral",
IF(SUMPRODUCT(--ISNUMBER(SEARCH(TRIM(Keywords!$A$2:$A$16),A1082)))&gt;0,"Positive",
IF(SUMPRODUCT(--ISNUMBER(SEARCH(TRIM(Keywords!$A$2:$B$14),A1082)))&gt;0,"Negative","Neutral")))</f>
        <v>Positive</v>
      </c>
    </row>
    <row r="1083" spans="1:3" x14ac:dyDescent="0.25">
      <c r="A1083" t="s">
        <v>581</v>
      </c>
      <c r="B1083">
        <v>5</v>
      </c>
      <c r="C1083" t="str">
        <f>IF(AND(SUMPRODUCT(--ISNUMBER(SEARCH(TRIM(Keywords!$A$2:$A$16),A1083)))&gt;0,
        SUMPRODUCT(--ISNUMBER(SEARCH(TRIM(Keywords!$B$2:$B$14),A1083)))&gt;0),"Neutral",
IF(SUMPRODUCT(--ISNUMBER(SEARCH(TRIM(Keywords!$A$2:$A$16),A1083)))&gt;0,"Positive",
IF(SUMPRODUCT(--ISNUMBER(SEARCH(TRIM(Keywords!$A$2:$B$14),A1083)))&gt;0,"Negative","Neutral")))</f>
        <v>Neutral</v>
      </c>
    </row>
    <row r="1084" spans="1:3" hidden="1" x14ac:dyDescent="0.25">
      <c r="A1084" t="s">
        <v>582</v>
      </c>
      <c r="B1084">
        <v>2</v>
      </c>
      <c r="C1084" t="str">
        <f>IF(AND(SUMPRODUCT(--ISNUMBER(SEARCH(TRIM(Keywords!$A$2:$A$16),A1084)))&gt;0,
        SUMPRODUCT(--ISNUMBER(SEARCH(TRIM(Keywords!$B$2:$B$14),A1084)))&gt;0),"Neutral",
IF(SUMPRODUCT(--ISNUMBER(SEARCH(TRIM(Keywords!$A$2:$A$16),A1084)))&gt;0,"Positive",
IF(SUMPRODUCT(--ISNUMBER(SEARCH(TRIM(Keywords!$A$2:$B$14),A1084)))&gt;0,"Negative","Neutral")))</f>
        <v>Negative</v>
      </c>
    </row>
    <row r="1085" spans="1:3" hidden="1" x14ac:dyDescent="0.25">
      <c r="A1085" t="s">
        <v>2</v>
      </c>
      <c r="B1085">
        <v>4</v>
      </c>
      <c r="C1085" t="str">
        <f>IF(AND(SUMPRODUCT(--ISNUMBER(SEARCH(TRIM(Keywords!$A$2:$A$16),A1085)))&gt;0,
        SUMPRODUCT(--ISNUMBER(SEARCH(TRIM(Keywords!$B$2:$B$14),A1085)))&gt;0),"Neutral",
IF(SUMPRODUCT(--ISNUMBER(SEARCH(TRIM(Keywords!$A$2:$A$16),A1085)))&gt;0,"Positive",
IF(SUMPRODUCT(--ISNUMBER(SEARCH(TRIM(Keywords!$A$2:$B$14),A1085)))&gt;0,"Negative","Neutral")))</f>
        <v>Positive</v>
      </c>
    </row>
    <row r="1086" spans="1:3" hidden="1" x14ac:dyDescent="0.25">
      <c r="A1086" t="s">
        <v>2</v>
      </c>
      <c r="B1086">
        <v>5</v>
      </c>
      <c r="C1086" t="str">
        <f>IF(AND(SUMPRODUCT(--ISNUMBER(SEARCH(TRIM(Keywords!$A$2:$A$16),A1086)))&gt;0,
        SUMPRODUCT(--ISNUMBER(SEARCH(TRIM(Keywords!$B$2:$B$14),A1086)))&gt;0),"Neutral",
IF(SUMPRODUCT(--ISNUMBER(SEARCH(TRIM(Keywords!$A$2:$A$16),A1086)))&gt;0,"Positive",
IF(SUMPRODUCT(--ISNUMBER(SEARCH(TRIM(Keywords!$A$2:$B$14),A1086)))&gt;0,"Negative","Neutral")))</f>
        <v>Positive</v>
      </c>
    </row>
    <row r="1087" spans="1:3" x14ac:dyDescent="0.25">
      <c r="A1087" t="s">
        <v>583</v>
      </c>
      <c r="B1087">
        <v>5</v>
      </c>
      <c r="C1087" t="str">
        <f>IF(AND(SUMPRODUCT(--ISNUMBER(SEARCH(TRIM(Keywords!$A$2:$A$16),A1087)))&gt;0,
        SUMPRODUCT(--ISNUMBER(SEARCH(TRIM(Keywords!$B$2:$B$14),A1087)))&gt;0),"Neutral",
IF(SUMPRODUCT(--ISNUMBER(SEARCH(TRIM(Keywords!$A$2:$A$16),A1087)))&gt;0,"Positive",
IF(SUMPRODUCT(--ISNUMBER(SEARCH(TRIM(Keywords!$A$2:$B$14),A1087)))&gt;0,"Negative","Neutral")))</f>
        <v>Neutral</v>
      </c>
    </row>
    <row r="1088" spans="1:3" hidden="1" x14ac:dyDescent="0.25">
      <c r="A1088" t="s">
        <v>2</v>
      </c>
      <c r="B1088">
        <v>5</v>
      </c>
      <c r="C1088" t="str">
        <f>IF(AND(SUMPRODUCT(--ISNUMBER(SEARCH(TRIM(Keywords!$A$2:$A$16),A1088)))&gt;0,
        SUMPRODUCT(--ISNUMBER(SEARCH(TRIM(Keywords!$B$2:$B$14),A1088)))&gt;0),"Neutral",
IF(SUMPRODUCT(--ISNUMBER(SEARCH(TRIM(Keywords!$A$2:$A$16),A1088)))&gt;0,"Positive",
IF(SUMPRODUCT(--ISNUMBER(SEARCH(TRIM(Keywords!$A$2:$B$14),A1088)))&gt;0,"Negative","Neutral")))</f>
        <v>Positive</v>
      </c>
    </row>
    <row r="1089" spans="1:3" hidden="1" x14ac:dyDescent="0.25">
      <c r="A1089" t="s">
        <v>584</v>
      </c>
      <c r="B1089">
        <v>5</v>
      </c>
      <c r="C1089" t="str">
        <f>IF(AND(SUMPRODUCT(--ISNUMBER(SEARCH(TRIM(Keywords!$A$2:$A$16),A1089)))&gt;0,
        SUMPRODUCT(--ISNUMBER(SEARCH(TRIM(Keywords!$B$2:$B$14),A1089)))&gt;0),"Neutral",
IF(SUMPRODUCT(--ISNUMBER(SEARCH(TRIM(Keywords!$A$2:$A$16),A1089)))&gt;0,"Positive",
IF(SUMPRODUCT(--ISNUMBER(SEARCH(TRIM(Keywords!$A$2:$B$14),A1089)))&gt;0,"Negative","Neutral")))</f>
        <v>Positive</v>
      </c>
    </row>
    <row r="1090" spans="1:3" hidden="1" x14ac:dyDescent="0.25">
      <c r="A1090" t="s">
        <v>2</v>
      </c>
      <c r="B1090">
        <v>5</v>
      </c>
      <c r="C1090" t="str">
        <f>IF(AND(SUMPRODUCT(--ISNUMBER(SEARCH(TRIM(Keywords!$A$2:$A$16),A1090)))&gt;0,
        SUMPRODUCT(--ISNUMBER(SEARCH(TRIM(Keywords!$B$2:$B$14),A1090)))&gt;0),"Neutral",
IF(SUMPRODUCT(--ISNUMBER(SEARCH(TRIM(Keywords!$A$2:$A$16),A1090)))&gt;0,"Positive",
IF(SUMPRODUCT(--ISNUMBER(SEARCH(TRIM(Keywords!$A$2:$B$14),A1090)))&gt;0,"Negative","Neutral")))</f>
        <v>Positive</v>
      </c>
    </row>
    <row r="1091" spans="1:3" hidden="1" x14ac:dyDescent="0.25">
      <c r="A1091" t="s">
        <v>129</v>
      </c>
      <c r="B1091">
        <v>5</v>
      </c>
      <c r="C1091" t="str">
        <f>IF(AND(SUMPRODUCT(--ISNUMBER(SEARCH(TRIM(Keywords!$A$2:$A$16),A1091)))&gt;0,
        SUMPRODUCT(--ISNUMBER(SEARCH(TRIM(Keywords!$B$2:$B$14),A1091)))&gt;0),"Neutral",
IF(SUMPRODUCT(--ISNUMBER(SEARCH(TRIM(Keywords!$A$2:$A$16),A1091)))&gt;0,"Positive",
IF(SUMPRODUCT(--ISNUMBER(SEARCH(TRIM(Keywords!$A$2:$B$14),A1091)))&gt;0,"Negative","Neutral")))</f>
        <v>Positive</v>
      </c>
    </row>
    <row r="1092" spans="1:3" x14ac:dyDescent="0.25">
      <c r="A1092" t="s">
        <v>34</v>
      </c>
      <c r="B1092">
        <v>5</v>
      </c>
      <c r="C1092" t="str">
        <f>IF(AND(SUMPRODUCT(--ISNUMBER(SEARCH(TRIM(Keywords!$A$2:$A$16),A1092)))&gt;0,
        SUMPRODUCT(--ISNUMBER(SEARCH(TRIM(Keywords!$B$2:$B$14),A1092)))&gt;0),"Neutral",
IF(SUMPRODUCT(--ISNUMBER(SEARCH(TRIM(Keywords!$A$2:$A$16),A1092)))&gt;0,"Positive",
IF(SUMPRODUCT(--ISNUMBER(SEARCH(TRIM(Keywords!$A$2:$B$14),A1092)))&gt;0,"Negative","Neutral")))</f>
        <v>Neutral</v>
      </c>
    </row>
    <row r="1093" spans="1:3" hidden="1" x14ac:dyDescent="0.25">
      <c r="A1093" t="s">
        <v>339</v>
      </c>
      <c r="B1093">
        <v>4</v>
      </c>
      <c r="C1093" t="str">
        <f>IF(AND(SUMPRODUCT(--ISNUMBER(SEARCH(TRIM(Keywords!$A$2:$A$16),A1093)))&gt;0,
        SUMPRODUCT(--ISNUMBER(SEARCH(TRIM(Keywords!$B$2:$B$14),A1093)))&gt;0),"Neutral",
IF(SUMPRODUCT(--ISNUMBER(SEARCH(TRIM(Keywords!$A$2:$A$16),A1093)))&gt;0,"Positive",
IF(SUMPRODUCT(--ISNUMBER(SEARCH(TRIM(Keywords!$A$2:$B$14),A1093)))&gt;0,"Negative","Neutral")))</f>
        <v>Negative</v>
      </c>
    </row>
    <row r="1094" spans="1:3" hidden="1" x14ac:dyDescent="0.25">
      <c r="A1094" t="s">
        <v>585</v>
      </c>
      <c r="B1094">
        <v>5</v>
      </c>
      <c r="C1094" t="str">
        <f>IF(AND(SUMPRODUCT(--ISNUMBER(SEARCH(TRIM(Keywords!$A$2:$A$16),A1094)))&gt;0,
        SUMPRODUCT(--ISNUMBER(SEARCH(TRIM(Keywords!$B$2:$B$14),A1094)))&gt;0),"Neutral",
IF(SUMPRODUCT(--ISNUMBER(SEARCH(TRIM(Keywords!$A$2:$A$16),A1094)))&gt;0,"Positive",
IF(SUMPRODUCT(--ISNUMBER(SEARCH(TRIM(Keywords!$A$2:$B$14),A1094)))&gt;0,"Negative","Neutral")))</f>
        <v>Positive</v>
      </c>
    </row>
    <row r="1095" spans="1:3" x14ac:dyDescent="0.25">
      <c r="A1095" t="s">
        <v>586</v>
      </c>
      <c r="B1095">
        <v>5</v>
      </c>
      <c r="C1095" t="str">
        <f>IF(AND(SUMPRODUCT(--ISNUMBER(SEARCH(TRIM(Keywords!$A$2:$A$16),A1095)))&gt;0,
        SUMPRODUCT(--ISNUMBER(SEARCH(TRIM(Keywords!$B$2:$B$14),A1095)))&gt;0),"Neutral",
IF(SUMPRODUCT(--ISNUMBER(SEARCH(TRIM(Keywords!$A$2:$A$16),A1095)))&gt;0,"Positive",
IF(SUMPRODUCT(--ISNUMBER(SEARCH(TRIM(Keywords!$A$2:$B$14),A1095)))&gt;0,"Negative","Neutral")))</f>
        <v>Neutral</v>
      </c>
    </row>
    <row r="1096" spans="1:3" hidden="1" x14ac:dyDescent="0.25">
      <c r="A1096" t="s">
        <v>587</v>
      </c>
      <c r="B1096">
        <v>2</v>
      </c>
      <c r="C1096" t="str">
        <f>IF(AND(SUMPRODUCT(--ISNUMBER(SEARCH(TRIM(Keywords!$A$2:$A$16),A1096)))&gt;0,
        SUMPRODUCT(--ISNUMBER(SEARCH(TRIM(Keywords!$B$2:$B$14),A1096)))&gt;0),"Neutral",
IF(SUMPRODUCT(--ISNUMBER(SEARCH(TRIM(Keywords!$A$2:$A$16),A1096)))&gt;0,"Positive",
IF(SUMPRODUCT(--ISNUMBER(SEARCH(TRIM(Keywords!$A$2:$B$14),A1096)))&gt;0,"Negative","Neutral")))</f>
        <v>Positive</v>
      </c>
    </row>
    <row r="1097" spans="1:3" hidden="1" x14ac:dyDescent="0.25">
      <c r="A1097" t="s">
        <v>588</v>
      </c>
      <c r="B1097">
        <v>5</v>
      </c>
      <c r="C1097" t="str">
        <f>IF(AND(SUMPRODUCT(--ISNUMBER(SEARCH(TRIM(Keywords!$A$2:$A$16),A1097)))&gt;0,
        SUMPRODUCT(--ISNUMBER(SEARCH(TRIM(Keywords!$B$2:$B$14),A1097)))&gt;0),"Neutral",
IF(SUMPRODUCT(--ISNUMBER(SEARCH(TRIM(Keywords!$A$2:$A$16),A1097)))&gt;0,"Positive",
IF(SUMPRODUCT(--ISNUMBER(SEARCH(TRIM(Keywords!$A$2:$B$14),A1097)))&gt;0,"Negative","Neutral")))</f>
        <v>Negative</v>
      </c>
    </row>
    <row r="1098" spans="1:3" hidden="1" x14ac:dyDescent="0.25">
      <c r="A1098" t="s">
        <v>39</v>
      </c>
      <c r="B1098">
        <v>5</v>
      </c>
      <c r="C1098" t="str">
        <f>IF(AND(SUMPRODUCT(--ISNUMBER(SEARCH(TRIM(Keywords!$A$2:$A$16),A1098)))&gt;0,
        SUMPRODUCT(--ISNUMBER(SEARCH(TRIM(Keywords!$B$2:$B$14),A1098)))&gt;0),"Neutral",
IF(SUMPRODUCT(--ISNUMBER(SEARCH(TRIM(Keywords!$A$2:$A$16),A1098)))&gt;0,"Positive",
IF(SUMPRODUCT(--ISNUMBER(SEARCH(TRIM(Keywords!$A$2:$B$14),A1098)))&gt;0,"Negative","Neutral")))</f>
        <v>Positive</v>
      </c>
    </row>
    <row r="1099" spans="1:3" hidden="1" x14ac:dyDescent="0.25">
      <c r="A1099" t="s">
        <v>2</v>
      </c>
      <c r="B1099">
        <v>5</v>
      </c>
      <c r="C1099" t="str">
        <f>IF(AND(SUMPRODUCT(--ISNUMBER(SEARCH(TRIM(Keywords!$A$2:$A$16),A1099)))&gt;0,
        SUMPRODUCT(--ISNUMBER(SEARCH(TRIM(Keywords!$B$2:$B$14),A1099)))&gt;0),"Neutral",
IF(SUMPRODUCT(--ISNUMBER(SEARCH(TRIM(Keywords!$A$2:$A$16),A1099)))&gt;0,"Positive",
IF(SUMPRODUCT(--ISNUMBER(SEARCH(TRIM(Keywords!$A$2:$B$14),A1099)))&gt;0,"Negative","Neutral")))</f>
        <v>Positive</v>
      </c>
    </row>
    <row r="1100" spans="1:3" hidden="1" x14ac:dyDescent="0.25">
      <c r="A1100" t="s">
        <v>124</v>
      </c>
      <c r="B1100">
        <v>5</v>
      </c>
      <c r="C1100" t="str">
        <f>IF(AND(SUMPRODUCT(--ISNUMBER(SEARCH(TRIM(Keywords!$A$2:$A$16),A1100)))&gt;0,
        SUMPRODUCT(--ISNUMBER(SEARCH(TRIM(Keywords!$B$2:$B$14),A1100)))&gt;0),"Neutral",
IF(SUMPRODUCT(--ISNUMBER(SEARCH(TRIM(Keywords!$A$2:$A$16),A1100)))&gt;0,"Positive",
IF(SUMPRODUCT(--ISNUMBER(SEARCH(TRIM(Keywords!$A$2:$B$14),A1100)))&gt;0,"Negative","Neutral")))</f>
        <v>Positive</v>
      </c>
    </row>
    <row r="1101" spans="1:3" hidden="1" x14ac:dyDescent="0.25">
      <c r="A1101" t="s">
        <v>37</v>
      </c>
      <c r="B1101">
        <v>5</v>
      </c>
      <c r="C1101" t="str">
        <f>IF(AND(SUMPRODUCT(--ISNUMBER(SEARCH(TRIM(Keywords!$A$2:$A$16),A1101)))&gt;0,
        SUMPRODUCT(--ISNUMBER(SEARCH(TRIM(Keywords!$B$2:$B$14),A1101)))&gt;0),"Neutral",
IF(SUMPRODUCT(--ISNUMBER(SEARCH(TRIM(Keywords!$A$2:$A$16),A1101)))&gt;0,"Positive",
IF(SUMPRODUCT(--ISNUMBER(SEARCH(TRIM(Keywords!$A$2:$B$14),A1101)))&gt;0,"Negative","Neutral")))</f>
        <v>Positive</v>
      </c>
    </row>
    <row r="1102" spans="1:3" x14ac:dyDescent="0.25">
      <c r="A1102" t="s">
        <v>36</v>
      </c>
      <c r="B1102">
        <v>4</v>
      </c>
      <c r="C1102" t="str">
        <f>IF(AND(SUMPRODUCT(--ISNUMBER(SEARCH(TRIM(Keywords!$A$2:$A$16),A1102)))&gt;0,
        SUMPRODUCT(--ISNUMBER(SEARCH(TRIM(Keywords!$B$2:$B$14),A1102)))&gt;0),"Neutral",
IF(SUMPRODUCT(--ISNUMBER(SEARCH(TRIM(Keywords!$A$2:$A$16),A1102)))&gt;0,"Positive",
IF(SUMPRODUCT(--ISNUMBER(SEARCH(TRIM(Keywords!$A$2:$B$14),A1102)))&gt;0,"Negative","Neutral")))</f>
        <v>Neutral</v>
      </c>
    </row>
    <row r="1103" spans="1:3" hidden="1" x14ac:dyDescent="0.25">
      <c r="A1103" t="s">
        <v>589</v>
      </c>
      <c r="B1103">
        <v>5</v>
      </c>
      <c r="C1103" t="str">
        <f>IF(AND(SUMPRODUCT(--ISNUMBER(SEARCH(TRIM(Keywords!$A$2:$A$16),A1103)))&gt;0,
        SUMPRODUCT(--ISNUMBER(SEARCH(TRIM(Keywords!$B$2:$B$14),A1103)))&gt;0),"Neutral",
IF(SUMPRODUCT(--ISNUMBER(SEARCH(TRIM(Keywords!$A$2:$A$16),A1103)))&gt;0,"Positive",
IF(SUMPRODUCT(--ISNUMBER(SEARCH(TRIM(Keywords!$A$2:$B$14),A1103)))&gt;0,"Negative","Neutral")))</f>
        <v>Positive</v>
      </c>
    </row>
    <row r="1104" spans="1:3" x14ac:dyDescent="0.25">
      <c r="A1104" t="s">
        <v>222</v>
      </c>
      <c r="B1104">
        <v>5</v>
      </c>
      <c r="C1104" t="str">
        <f>IF(AND(SUMPRODUCT(--ISNUMBER(SEARCH(TRIM(Keywords!$A$2:$A$16),A1104)))&gt;0,
        SUMPRODUCT(--ISNUMBER(SEARCH(TRIM(Keywords!$B$2:$B$14),A1104)))&gt;0),"Neutral",
IF(SUMPRODUCT(--ISNUMBER(SEARCH(TRIM(Keywords!$A$2:$A$16),A1104)))&gt;0,"Positive",
IF(SUMPRODUCT(--ISNUMBER(SEARCH(TRIM(Keywords!$A$2:$B$14),A1104)))&gt;0,"Negative","Neutral")))</f>
        <v>Neutral</v>
      </c>
    </row>
    <row r="1105" spans="1:3" hidden="1" x14ac:dyDescent="0.25">
      <c r="A1105" t="s">
        <v>37</v>
      </c>
      <c r="B1105">
        <v>5</v>
      </c>
      <c r="C1105" t="str">
        <f>IF(AND(SUMPRODUCT(--ISNUMBER(SEARCH(TRIM(Keywords!$A$2:$A$16),A1105)))&gt;0,
        SUMPRODUCT(--ISNUMBER(SEARCH(TRIM(Keywords!$B$2:$B$14),A1105)))&gt;0),"Neutral",
IF(SUMPRODUCT(--ISNUMBER(SEARCH(TRIM(Keywords!$A$2:$A$16),A1105)))&gt;0,"Positive",
IF(SUMPRODUCT(--ISNUMBER(SEARCH(TRIM(Keywords!$A$2:$B$14),A1105)))&gt;0,"Negative","Neutral")))</f>
        <v>Positive</v>
      </c>
    </row>
    <row r="1106" spans="1:3" hidden="1" x14ac:dyDescent="0.25">
      <c r="A1106" t="s">
        <v>590</v>
      </c>
      <c r="B1106">
        <v>1</v>
      </c>
      <c r="C1106" t="str">
        <f>IF(AND(SUMPRODUCT(--ISNUMBER(SEARCH(TRIM(Keywords!$A$2:$A$16),A1106)))&gt;0,
        SUMPRODUCT(--ISNUMBER(SEARCH(TRIM(Keywords!$B$2:$B$14),A1106)))&gt;0),"Neutral",
IF(SUMPRODUCT(--ISNUMBER(SEARCH(TRIM(Keywords!$A$2:$A$16),A1106)))&gt;0,"Positive",
IF(SUMPRODUCT(--ISNUMBER(SEARCH(TRIM(Keywords!$A$2:$B$14),A1106)))&gt;0,"Negative","Neutral")))</f>
        <v>Negative</v>
      </c>
    </row>
    <row r="1107" spans="1:3" x14ac:dyDescent="0.25">
      <c r="A1107" t="s">
        <v>36</v>
      </c>
      <c r="B1107">
        <v>5</v>
      </c>
      <c r="C1107" t="str">
        <f>IF(AND(SUMPRODUCT(--ISNUMBER(SEARCH(TRIM(Keywords!$A$2:$A$16),A1107)))&gt;0,
        SUMPRODUCT(--ISNUMBER(SEARCH(TRIM(Keywords!$B$2:$B$14),A1107)))&gt;0),"Neutral",
IF(SUMPRODUCT(--ISNUMBER(SEARCH(TRIM(Keywords!$A$2:$A$16),A1107)))&gt;0,"Positive",
IF(SUMPRODUCT(--ISNUMBER(SEARCH(TRIM(Keywords!$A$2:$B$14),A1107)))&gt;0,"Negative","Neutral")))</f>
        <v>Neutral</v>
      </c>
    </row>
    <row r="1108" spans="1:3" hidden="1" x14ac:dyDescent="0.25">
      <c r="A1108" t="s">
        <v>591</v>
      </c>
      <c r="B1108">
        <v>4</v>
      </c>
      <c r="C1108" t="str">
        <f>IF(AND(SUMPRODUCT(--ISNUMBER(SEARCH(TRIM(Keywords!$A$2:$A$16),A1108)))&gt;0,
        SUMPRODUCT(--ISNUMBER(SEARCH(TRIM(Keywords!$B$2:$B$14),A1108)))&gt;0),"Neutral",
IF(SUMPRODUCT(--ISNUMBER(SEARCH(TRIM(Keywords!$A$2:$A$16),A1108)))&gt;0,"Positive",
IF(SUMPRODUCT(--ISNUMBER(SEARCH(TRIM(Keywords!$A$2:$B$14),A1108)))&gt;0,"Negative","Neutral")))</f>
        <v>Positive</v>
      </c>
    </row>
    <row r="1109" spans="1:3" hidden="1" x14ac:dyDescent="0.25">
      <c r="A1109" t="s">
        <v>59</v>
      </c>
      <c r="B1109">
        <v>5</v>
      </c>
      <c r="C1109" t="str">
        <f>IF(AND(SUMPRODUCT(--ISNUMBER(SEARCH(TRIM(Keywords!$A$2:$A$16),A1109)))&gt;0,
        SUMPRODUCT(--ISNUMBER(SEARCH(TRIM(Keywords!$B$2:$B$14),A1109)))&gt;0),"Neutral",
IF(SUMPRODUCT(--ISNUMBER(SEARCH(TRIM(Keywords!$A$2:$A$16),A1109)))&gt;0,"Positive",
IF(SUMPRODUCT(--ISNUMBER(SEARCH(TRIM(Keywords!$A$2:$B$14),A1109)))&gt;0,"Negative","Neutral")))</f>
        <v>Positive</v>
      </c>
    </row>
    <row r="1110" spans="1:3" hidden="1" x14ac:dyDescent="0.25">
      <c r="A1110" t="s">
        <v>37</v>
      </c>
      <c r="B1110">
        <v>5</v>
      </c>
      <c r="C1110" t="str">
        <f>IF(AND(SUMPRODUCT(--ISNUMBER(SEARCH(TRIM(Keywords!$A$2:$A$16),A1110)))&gt;0,
        SUMPRODUCT(--ISNUMBER(SEARCH(TRIM(Keywords!$B$2:$B$14),A1110)))&gt;0),"Neutral",
IF(SUMPRODUCT(--ISNUMBER(SEARCH(TRIM(Keywords!$A$2:$A$16),A1110)))&gt;0,"Positive",
IF(SUMPRODUCT(--ISNUMBER(SEARCH(TRIM(Keywords!$A$2:$B$14),A1110)))&gt;0,"Negative","Neutral")))</f>
        <v>Positive</v>
      </c>
    </row>
    <row r="1111" spans="1:3" hidden="1" x14ac:dyDescent="0.25">
      <c r="A1111" t="s">
        <v>592</v>
      </c>
      <c r="B1111">
        <v>5</v>
      </c>
      <c r="C1111" t="str">
        <f>IF(AND(SUMPRODUCT(--ISNUMBER(SEARCH(TRIM(Keywords!$A$2:$A$16),A1111)))&gt;0,
        SUMPRODUCT(--ISNUMBER(SEARCH(TRIM(Keywords!$B$2:$B$14),A1111)))&gt;0),"Neutral",
IF(SUMPRODUCT(--ISNUMBER(SEARCH(TRIM(Keywords!$A$2:$A$16),A1111)))&gt;0,"Positive",
IF(SUMPRODUCT(--ISNUMBER(SEARCH(TRIM(Keywords!$A$2:$B$14),A1111)))&gt;0,"Negative","Neutral")))</f>
        <v>Positive</v>
      </c>
    </row>
    <row r="1112" spans="1:3" hidden="1" x14ac:dyDescent="0.25">
      <c r="A1112" t="s">
        <v>37</v>
      </c>
      <c r="B1112">
        <v>5</v>
      </c>
      <c r="C1112" t="str">
        <f>IF(AND(SUMPRODUCT(--ISNUMBER(SEARCH(TRIM(Keywords!$A$2:$A$16),A1112)))&gt;0,
        SUMPRODUCT(--ISNUMBER(SEARCH(TRIM(Keywords!$B$2:$B$14),A1112)))&gt;0),"Neutral",
IF(SUMPRODUCT(--ISNUMBER(SEARCH(TRIM(Keywords!$A$2:$A$16),A1112)))&gt;0,"Positive",
IF(SUMPRODUCT(--ISNUMBER(SEARCH(TRIM(Keywords!$A$2:$B$14),A1112)))&gt;0,"Negative","Neutral")))</f>
        <v>Positive</v>
      </c>
    </row>
    <row r="1113" spans="1:3" hidden="1" x14ac:dyDescent="0.25">
      <c r="A1113" t="s">
        <v>593</v>
      </c>
      <c r="B1113">
        <v>2</v>
      </c>
      <c r="C1113" t="str">
        <f>IF(AND(SUMPRODUCT(--ISNUMBER(SEARCH(TRIM(Keywords!$A$2:$A$16),A1113)))&gt;0,
        SUMPRODUCT(--ISNUMBER(SEARCH(TRIM(Keywords!$B$2:$B$14),A1113)))&gt;0),"Neutral",
IF(SUMPRODUCT(--ISNUMBER(SEARCH(TRIM(Keywords!$A$2:$A$16),A1113)))&gt;0,"Positive",
IF(SUMPRODUCT(--ISNUMBER(SEARCH(TRIM(Keywords!$A$2:$B$14),A1113)))&gt;0,"Negative","Neutral")))</f>
        <v>Negative</v>
      </c>
    </row>
    <row r="1114" spans="1:3" x14ac:dyDescent="0.25">
      <c r="A1114" t="s">
        <v>594</v>
      </c>
      <c r="B1114">
        <v>1</v>
      </c>
      <c r="C1114" t="str">
        <f>IF(AND(SUMPRODUCT(--ISNUMBER(SEARCH(TRIM(Keywords!$A$2:$A$16),A1114)))&gt;0,
        SUMPRODUCT(--ISNUMBER(SEARCH(TRIM(Keywords!$B$2:$B$14),A1114)))&gt;0),"Neutral",
IF(SUMPRODUCT(--ISNUMBER(SEARCH(TRIM(Keywords!$A$2:$A$16),A1114)))&gt;0,"Positive",
IF(SUMPRODUCT(--ISNUMBER(SEARCH(TRIM(Keywords!$A$2:$B$14),A1114)))&gt;0,"Negative","Neutral")))</f>
        <v>Neutral</v>
      </c>
    </row>
    <row r="1115" spans="1:3" hidden="1" x14ac:dyDescent="0.25">
      <c r="A1115" t="s">
        <v>39</v>
      </c>
      <c r="B1115">
        <v>4</v>
      </c>
      <c r="C1115" t="str">
        <f>IF(AND(SUMPRODUCT(--ISNUMBER(SEARCH(TRIM(Keywords!$A$2:$A$16),A1115)))&gt;0,
        SUMPRODUCT(--ISNUMBER(SEARCH(TRIM(Keywords!$B$2:$B$14),A1115)))&gt;0),"Neutral",
IF(SUMPRODUCT(--ISNUMBER(SEARCH(TRIM(Keywords!$A$2:$A$16),A1115)))&gt;0,"Positive",
IF(SUMPRODUCT(--ISNUMBER(SEARCH(TRIM(Keywords!$A$2:$B$14),A1115)))&gt;0,"Negative","Neutral")))</f>
        <v>Positive</v>
      </c>
    </row>
    <row r="1116" spans="1:3" hidden="1" x14ac:dyDescent="0.25">
      <c r="A1116" t="s">
        <v>2</v>
      </c>
      <c r="B1116">
        <v>5</v>
      </c>
      <c r="C1116" t="str">
        <f>IF(AND(SUMPRODUCT(--ISNUMBER(SEARCH(TRIM(Keywords!$A$2:$A$16),A1116)))&gt;0,
        SUMPRODUCT(--ISNUMBER(SEARCH(TRIM(Keywords!$B$2:$B$14),A1116)))&gt;0),"Neutral",
IF(SUMPRODUCT(--ISNUMBER(SEARCH(TRIM(Keywords!$A$2:$A$16),A1116)))&gt;0,"Positive",
IF(SUMPRODUCT(--ISNUMBER(SEARCH(TRIM(Keywords!$A$2:$B$14),A1116)))&gt;0,"Negative","Neutral")))</f>
        <v>Positive</v>
      </c>
    </row>
    <row r="1117" spans="1:3" x14ac:dyDescent="0.25">
      <c r="A1117" t="s">
        <v>595</v>
      </c>
      <c r="B1117">
        <v>1</v>
      </c>
      <c r="C1117" t="str">
        <f>IF(AND(SUMPRODUCT(--ISNUMBER(SEARCH(TRIM(Keywords!$A$2:$A$16),A1117)))&gt;0,
        SUMPRODUCT(--ISNUMBER(SEARCH(TRIM(Keywords!$B$2:$B$14),A1117)))&gt;0),"Neutral",
IF(SUMPRODUCT(--ISNUMBER(SEARCH(TRIM(Keywords!$A$2:$A$16),A1117)))&gt;0,"Positive",
IF(SUMPRODUCT(--ISNUMBER(SEARCH(TRIM(Keywords!$A$2:$B$14),A1117)))&gt;0,"Negative","Neutral")))</f>
        <v>Neutral</v>
      </c>
    </row>
    <row r="1118" spans="1:3" hidden="1" x14ac:dyDescent="0.25">
      <c r="A1118" t="s">
        <v>596</v>
      </c>
      <c r="B1118">
        <v>5</v>
      </c>
      <c r="C1118" t="str">
        <f>IF(AND(SUMPRODUCT(--ISNUMBER(SEARCH(TRIM(Keywords!$A$2:$A$16),A1118)))&gt;0,
        SUMPRODUCT(--ISNUMBER(SEARCH(TRIM(Keywords!$B$2:$B$14),A1118)))&gt;0),"Neutral",
IF(SUMPRODUCT(--ISNUMBER(SEARCH(TRIM(Keywords!$A$2:$A$16),A1118)))&gt;0,"Positive",
IF(SUMPRODUCT(--ISNUMBER(SEARCH(TRIM(Keywords!$A$2:$B$14),A1118)))&gt;0,"Negative","Neutral")))</f>
        <v>Positive</v>
      </c>
    </row>
    <row r="1119" spans="1:3" x14ac:dyDescent="0.25">
      <c r="A1119" t="s">
        <v>36</v>
      </c>
      <c r="B1119">
        <v>5</v>
      </c>
      <c r="C1119" t="str">
        <f>IF(AND(SUMPRODUCT(--ISNUMBER(SEARCH(TRIM(Keywords!$A$2:$A$16),A1119)))&gt;0,
        SUMPRODUCT(--ISNUMBER(SEARCH(TRIM(Keywords!$B$2:$B$14),A1119)))&gt;0),"Neutral",
IF(SUMPRODUCT(--ISNUMBER(SEARCH(TRIM(Keywords!$A$2:$A$16),A1119)))&gt;0,"Positive",
IF(SUMPRODUCT(--ISNUMBER(SEARCH(TRIM(Keywords!$A$2:$B$14),A1119)))&gt;0,"Negative","Neutral")))</f>
        <v>Neutral</v>
      </c>
    </row>
    <row r="1120" spans="1:3" hidden="1" x14ac:dyDescent="0.25">
      <c r="A1120" t="s">
        <v>2</v>
      </c>
      <c r="B1120">
        <v>5</v>
      </c>
      <c r="C1120" t="str">
        <f>IF(AND(SUMPRODUCT(--ISNUMBER(SEARCH(TRIM(Keywords!$A$2:$A$16),A1120)))&gt;0,
        SUMPRODUCT(--ISNUMBER(SEARCH(TRIM(Keywords!$B$2:$B$14),A1120)))&gt;0),"Neutral",
IF(SUMPRODUCT(--ISNUMBER(SEARCH(TRIM(Keywords!$A$2:$A$16),A1120)))&gt;0,"Positive",
IF(SUMPRODUCT(--ISNUMBER(SEARCH(TRIM(Keywords!$A$2:$B$14),A1120)))&gt;0,"Negative","Neutral")))</f>
        <v>Positive</v>
      </c>
    </row>
    <row r="1121" spans="1:3" hidden="1" x14ac:dyDescent="0.25">
      <c r="A1121" t="s">
        <v>2</v>
      </c>
      <c r="B1121">
        <v>4</v>
      </c>
      <c r="C1121" t="str">
        <f>IF(AND(SUMPRODUCT(--ISNUMBER(SEARCH(TRIM(Keywords!$A$2:$A$16),A1121)))&gt;0,
        SUMPRODUCT(--ISNUMBER(SEARCH(TRIM(Keywords!$B$2:$B$14),A1121)))&gt;0),"Neutral",
IF(SUMPRODUCT(--ISNUMBER(SEARCH(TRIM(Keywords!$A$2:$A$16),A1121)))&gt;0,"Positive",
IF(SUMPRODUCT(--ISNUMBER(SEARCH(TRIM(Keywords!$A$2:$B$14),A1121)))&gt;0,"Negative","Neutral")))</f>
        <v>Positive</v>
      </c>
    </row>
    <row r="1122" spans="1:3" hidden="1" x14ac:dyDescent="0.25">
      <c r="A1122" t="s">
        <v>597</v>
      </c>
      <c r="B1122">
        <v>5</v>
      </c>
      <c r="C1122" t="str">
        <f>IF(AND(SUMPRODUCT(--ISNUMBER(SEARCH(TRIM(Keywords!$A$2:$A$16),A1122)))&gt;0,
        SUMPRODUCT(--ISNUMBER(SEARCH(TRIM(Keywords!$B$2:$B$14),A1122)))&gt;0),"Neutral",
IF(SUMPRODUCT(--ISNUMBER(SEARCH(TRIM(Keywords!$A$2:$A$16),A1122)))&gt;0,"Positive",
IF(SUMPRODUCT(--ISNUMBER(SEARCH(TRIM(Keywords!$A$2:$B$14),A1122)))&gt;0,"Negative","Neutral")))</f>
        <v>Positive</v>
      </c>
    </row>
    <row r="1123" spans="1:3" x14ac:dyDescent="0.25">
      <c r="A1123" t="s">
        <v>598</v>
      </c>
      <c r="B1123">
        <v>3</v>
      </c>
      <c r="C1123" t="str">
        <f>IF(AND(SUMPRODUCT(--ISNUMBER(SEARCH(TRIM(Keywords!$A$2:$A$16),A1123)))&gt;0,
        SUMPRODUCT(--ISNUMBER(SEARCH(TRIM(Keywords!$B$2:$B$14),A1123)))&gt;0),"Neutral",
IF(SUMPRODUCT(--ISNUMBER(SEARCH(TRIM(Keywords!$A$2:$A$16),A1123)))&gt;0,"Positive",
IF(SUMPRODUCT(--ISNUMBER(SEARCH(TRIM(Keywords!$A$2:$B$14),A1123)))&gt;0,"Negative","Neutral")))</f>
        <v>Neutral</v>
      </c>
    </row>
    <row r="1124" spans="1:3" x14ac:dyDescent="0.25">
      <c r="A1124" t="s">
        <v>599</v>
      </c>
      <c r="B1124">
        <v>3</v>
      </c>
      <c r="C1124" t="str">
        <f>IF(AND(SUMPRODUCT(--ISNUMBER(SEARCH(TRIM(Keywords!$A$2:$A$16),A1124)))&gt;0,
        SUMPRODUCT(--ISNUMBER(SEARCH(TRIM(Keywords!$B$2:$B$14),A1124)))&gt;0),"Neutral",
IF(SUMPRODUCT(--ISNUMBER(SEARCH(TRIM(Keywords!$A$2:$A$16),A1124)))&gt;0,"Positive",
IF(SUMPRODUCT(--ISNUMBER(SEARCH(TRIM(Keywords!$A$2:$B$14),A1124)))&gt;0,"Negative","Neutral")))</f>
        <v>Neutral</v>
      </c>
    </row>
    <row r="1125" spans="1:3" hidden="1" x14ac:dyDescent="0.25">
      <c r="A1125" t="s">
        <v>600</v>
      </c>
      <c r="B1125">
        <v>4</v>
      </c>
      <c r="C1125" t="str">
        <f>IF(AND(SUMPRODUCT(--ISNUMBER(SEARCH(TRIM(Keywords!$A$2:$A$16),A1125)))&gt;0,
        SUMPRODUCT(--ISNUMBER(SEARCH(TRIM(Keywords!$B$2:$B$14),A1125)))&gt;0),"Neutral",
IF(SUMPRODUCT(--ISNUMBER(SEARCH(TRIM(Keywords!$A$2:$A$16),A1125)))&gt;0,"Positive",
IF(SUMPRODUCT(--ISNUMBER(SEARCH(TRIM(Keywords!$A$2:$B$14),A1125)))&gt;0,"Negative","Neutral")))</f>
        <v>Negative</v>
      </c>
    </row>
    <row r="1126" spans="1:3" hidden="1" x14ac:dyDescent="0.25">
      <c r="A1126" t="s">
        <v>601</v>
      </c>
      <c r="B1126">
        <v>5</v>
      </c>
      <c r="C1126" t="str">
        <f>IF(AND(SUMPRODUCT(--ISNUMBER(SEARCH(TRIM(Keywords!$A$2:$A$16),A1126)))&gt;0,
        SUMPRODUCT(--ISNUMBER(SEARCH(TRIM(Keywords!$B$2:$B$14),A1126)))&gt;0),"Neutral",
IF(SUMPRODUCT(--ISNUMBER(SEARCH(TRIM(Keywords!$A$2:$A$16),A1126)))&gt;0,"Positive",
IF(SUMPRODUCT(--ISNUMBER(SEARCH(TRIM(Keywords!$A$2:$B$14),A1126)))&gt;0,"Negative","Neutral")))</f>
        <v>Positive</v>
      </c>
    </row>
    <row r="1127" spans="1:3" hidden="1" x14ac:dyDescent="0.25">
      <c r="A1127" t="s">
        <v>2</v>
      </c>
      <c r="B1127">
        <v>5</v>
      </c>
      <c r="C1127" t="str">
        <f>IF(AND(SUMPRODUCT(--ISNUMBER(SEARCH(TRIM(Keywords!$A$2:$A$16),A1127)))&gt;0,
        SUMPRODUCT(--ISNUMBER(SEARCH(TRIM(Keywords!$B$2:$B$14),A1127)))&gt;0),"Neutral",
IF(SUMPRODUCT(--ISNUMBER(SEARCH(TRIM(Keywords!$A$2:$A$16),A1127)))&gt;0,"Positive",
IF(SUMPRODUCT(--ISNUMBER(SEARCH(TRIM(Keywords!$A$2:$B$14),A1127)))&gt;0,"Negative","Neutral")))</f>
        <v>Positive</v>
      </c>
    </row>
    <row r="1128" spans="1:3" hidden="1" x14ac:dyDescent="0.25">
      <c r="A1128" t="s">
        <v>38</v>
      </c>
      <c r="B1128">
        <v>5</v>
      </c>
      <c r="C1128" t="str">
        <f>IF(AND(SUMPRODUCT(--ISNUMBER(SEARCH(TRIM(Keywords!$A$2:$A$16),A1128)))&gt;0,
        SUMPRODUCT(--ISNUMBER(SEARCH(TRIM(Keywords!$B$2:$B$14),A1128)))&gt;0),"Neutral",
IF(SUMPRODUCT(--ISNUMBER(SEARCH(TRIM(Keywords!$A$2:$A$16),A1128)))&gt;0,"Positive",
IF(SUMPRODUCT(--ISNUMBER(SEARCH(TRIM(Keywords!$A$2:$B$14),A1128)))&gt;0,"Negative","Neutral")))</f>
        <v>Positive</v>
      </c>
    </row>
    <row r="1129" spans="1:3" x14ac:dyDescent="0.25">
      <c r="A1129" t="s">
        <v>36</v>
      </c>
      <c r="B1129">
        <v>5</v>
      </c>
      <c r="C1129" t="str">
        <f>IF(AND(SUMPRODUCT(--ISNUMBER(SEARCH(TRIM(Keywords!$A$2:$A$16),A1129)))&gt;0,
        SUMPRODUCT(--ISNUMBER(SEARCH(TRIM(Keywords!$B$2:$B$14),A1129)))&gt;0),"Neutral",
IF(SUMPRODUCT(--ISNUMBER(SEARCH(TRIM(Keywords!$A$2:$A$16),A1129)))&gt;0,"Positive",
IF(SUMPRODUCT(--ISNUMBER(SEARCH(TRIM(Keywords!$A$2:$B$14),A1129)))&gt;0,"Negative","Neutral")))</f>
        <v>Neutral</v>
      </c>
    </row>
    <row r="1130" spans="1:3" hidden="1" x14ac:dyDescent="0.25">
      <c r="A1130" t="s">
        <v>37</v>
      </c>
      <c r="B1130">
        <v>5</v>
      </c>
      <c r="C1130" t="str">
        <f>IF(AND(SUMPRODUCT(--ISNUMBER(SEARCH(TRIM(Keywords!$A$2:$A$16),A1130)))&gt;0,
        SUMPRODUCT(--ISNUMBER(SEARCH(TRIM(Keywords!$B$2:$B$14),A1130)))&gt;0),"Neutral",
IF(SUMPRODUCT(--ISNUMBER(SEARCH(TRIM(Keywords!$A$2:$A$16),A1130)))&gt;0,"Positive",
IF(SUMPRODUCT(--ISNUMBER(SEARCH(TRIM(Keywords!$A$2:$B$14),A1130)))&gt;0,"Negative","Neutral")))</f>
        <v>Positive</v>
      </c>
    </row>
    <row r="1131" spans="1:3" hidden="1" x14ac:dyDescent="0.25">
      <c r="A1131" t="s">
        <v>2</v>
      </c>
      <c r="B1131">
        <v>3</v>
      </c>
      <c r="C1131" t="str">
        <f>IF(AND(SUMPRODUCT(--ISNUMBER(SEARCH(TRIM(Keywords!$A$2:$A$16),A1131)))&gt;0,
        SUMPRODUCT(--ISNUMBER(SEARCH(TRIM(Keywords!$B$2:$B$14),A1131)))&gt;0),"Neutral",
IF(SUMPRODUCT(--ISNUMBER(SEARCH(TRIM(Keywords!$A$2:$A$16),A1131)))&gt;0,"Positive",
IF(SUMPRODUCT(--ISNUMBER(SEARCH(TRIM(Keywords!$A$2:$B$14),A1131)))&gt;0,"Negative","Neutral")))</f>
        <v>Positive</v>
      </c>
    </row>
    <row r="1132" spans="1:3" hidden="1" x14ac:dyDescent="0.25">
      <c r="A1132" t="s">
        <v>602</v>
      </c>
      <c r="B1132">
        <v>5</v>
      </c>
      <c r="C1132" t="str">
        <f>IF(AND(SUMPRODUCT(--ISNUMBER(SEARCH(TRIM(Keywords!$A$2:$A$16),A1132)))&gt;0,
        SUMPRODUCT(--ISNUMBER(SEARCH(TRIM(Keywords!$B$2:$B$14),A1132)))&gt;0),"Neutral",
IF(SUMPRODUCT(--ISNUMBER(SEARCH(TRIM(Keywords!$A$2:$A$16),A1132)))&gt;0,"Positive",
IF(SUMPRODUCT(--ISNUMBER(SEARCH(TRIM(Keywords!$A$2:$B$14),A1132)))&gt;0,"Negative","Neutral")))</f>
        <v>Positive</v>
      </c>
    </row>
    <row r="1133" spans="1:3" x14ac:dyDescent="0.25">
      <c r="A1133" t="s">
        <v>603</v>
      </c>
      <c r="B1133">
        <v>5</v>
      </c>
      <c r="C1133" t="str">
        <f>IF(AND(SUMPRODUCT(--ISNUMBER(SEARCH(TRIM(Keywords!$A$2:$A$16),A1133)))&gt;0,
        SUMPRODUCT(--ISNUMBER(SEARCH(TRIM(Keywords!$B$2:$B$14),A1133)))&gt;0),"Neutral",
IF(SUMPRODUCT(--ISNUMBER(SEARCH(TRIM(Keywords!$A$2:$A$16),A1133)))&gt;0,"Positive",
IF(SUMPRODUCT(--ISNUMBER(SEARCH(TRIM(Keywords!$A$2:$B$14),A1133)))&gt;0,"Negative","Neutral")))</f>
        <v>Neutral</v>
      </c>
    </row>
    <row r="1134" spans="1:3" hidden="1" x14ac:dyDescent="0.25">
      <c r="A1134" t="s">
        <v>341</v>
      </c>
      <c r="B1134">
        <v>5</v>
      </c>
      <c r="C1134" t="str">
        <f>IF(AND(SUMPRODUCT(--ISNUMBER(SEARCH(TRIM(Keywords!$A$2:$A$16),A1134)))&gt;0,
        SUMPRODUCT(--ISNUMBER(SEARCH(TRIM(Keywords!$B$2:$B$14),A1134)))&gt;0),"Neutral",
IF(SUMPRODUCT(--ISNUMBER(SEARCH(TRIM(Keywords!$A$2:$A$16),A1134)))&gt;0,"Positive",
IF(SUMPRODUCT(--ISNUMBER(SEARCH(TRIM(Keywords!$A$2:$B$14),A1134)))&gt;0,"Negative","Neutral")))</f>
        <v>Positive</v>
      </c>
    </row>
    <row r="1135" spans="1:3" hidden="1" x14ac:dyDescent="0.25">
      <c r="A1135" t="s">
        <v>53</v>
      </c>
      <c r="B1135">
        <v>5</v>
      </c>
      <c r="C1135" t="str">
        <f>IF(AND(SUMPRODUCT(--ISNUMBER(SEARCH(TRIM(Keywords!$A$2:$A$16),A1135)))&gt;0,
        SUMPRODUCT(--ISNUMBER(SEARCH(TRIM(Keywords!$B$2:$B$14),A1135)))&gt;0),"Neutral",
IF(SUMPRODUCT(--ISNUMBER(SEARCH(TRIM(Keywords!$A$2:$A$16),A1135)))&gt;0,"Positive",
IF(SUMPRODUCT(--ISNUMBER(SEARCH(TRIM(Keywords!$A$2:$B$14),A1135)))&gt;0,"Negative","Neutral")))</f>
        <v>Positive</v>
      </c>
    </row>
    <row r="1136" spans="1:3" hidden="1" x14ac:dyDescent="0.25">
      <c r="A1136" t="s">
        <v>2</v>
      </c>
      <c r="B1136">
        <v>5</v>
      </c>
      <c r="C1136" t="str">
        <f>IF(AND(SUMPRODUCT(--ISNUMBER(SEARCH(TRIM(Keywords!$A$2:$A$16),A1136)))&gt;0,
        SUMPRODUCT(--ISNUMBER(SEARCH(TRIM(Keywords!$B$2:$B$14),A1136)))&gt;0),"Neutral",
IF(SUMPRODUCT(--ISNUMBER(SEARCH(TRIM(Keywords!$A$2:$A$16),A1136)))&gt;0,"Positive",
IF(SUMPRODUCT(--ISNUMBER(SEARCH(TRIM(Keywords!$A$2:$B$14),A1136)))&gt;0,"Negative","Neutral")))</f>
        <v>Positive</v>
      </c>
    </row>
    <row r="1137" spans="1:3" hidden="1" x14ac:dyDescent="0.25">
      <c r="A1137" t="s">
        <v>2</v>
      </c>
      <c r="B1137">
        <v>5</v>
      </c>
      <c r="C1137" t="str">
        <f>IF(AND(SUMPRODUCT(--ISNUMBER(SEARCH(TRIM(Keywords!$A$2:$A$16),A1137)))&gt;0,
        SUMPRODUCT(--ISNUMBER(SEARCH(TRIM(Keywords!$B$2:$B$14),A1137)))&gt;0),"Neutral",
IF(SUMPRODUCT(--ISNUMBER(SEARCH(TRIM(Keywords!$A$2:$A$16),A1137)))&gt;0,"Positive",
IF(SUMPRODUCT(--ISNUMBER(SEARCH(TRIM(Keywords!$A$2:$B$14),A1137)))&gt;0,"Negative","Neutral")))</f>
        <v>Positive</v>
      </c>
    </row>
    <row r="1138" spans="1:3" hidden="1" x14ac:dyDescent="0.25">
      <c r="A1138" t="s">
        <v>604</v>
      </c>
      <c r="B1138">
        <v>5</v>
      </c>
      <c r="C1138" t="str">
        <f>IF(AND(SUMPRODUCT(--ISNUMBER(SEARCH(TRIM(Keywords!$A$2:$A$16),A1138)))&gt;0,
        SUMPRODUCT(--ISNUMBER(SEARCH(TRIM(Keywords!$B$2:$B$14),A1138)))&gt;0),"Neutral",
IF(SUMPRODUCT(--ISNUMBER(SEARCH(TRIM(Keywords!$A$2:$A$16),A1138)))&gt;0,"Positive",
IF(SUMPRODUCT(--ISNUMBER(SEARCH(TRIM(Keywords!$A$2:$B$14),A1138)))&gt;0,"Negative","Neutral")))</f>
        <v>Positive</v>
      </c>
    </row>
    <row r="1139" spans="1:3" hidden="1" x14ac:dyDescent="0.25">
      <c r="A1139" t="s">
        <v>2</v>
      </c>
      <c r="B1139">
        <v>5</v>
      </c>
      <c r="C1139" t="str">
        <f>IF(AND(SUMPRODUCT(--ISNUMBER(SEARCH(TRIM(Keywords!$A$2:$A$16),A1139)))&gt;0,
        SUMPRODUCT(--ISNUMBER(SEARCH(TRIM(Keywords!$B$2:$B$14),A1139)))&gt;0),"Neutral",
IF(SUMPRODUCT(--ISNUMBER(SEARCH(TRIM(Keywords!$A$2:$A$16),A1139)))&gt;0,"Positive",
IF(SUMPRODUCT(--ISNUMBER(SEARCH(TRIM(Keywords!$A$2:$B$14),A1139)))&gt;0,"Negative","Neutral")))</f>
        <v>Positive</v>
      </c>
    </row>
    <row r="1140" spans="1:3" hidden="1" x14ac:dyDescent="0.25">
      <c r="A1140" t="s">
        <v>2</v>
      </c>
      <c r="B1140">
        <v>2</v>
      </c>
      <c r="C1140" t="str">
        <f>IF(AND(SUMPRODUCT(--ISNUMBER(SEARCH(TRIM(Keywords!$A$2:$A$16),A1140)))&gt;0,
        SUMPRODUCT(--ISNUMBER(SEARCH(TRIM(Keywords!$B$2:$B$14),A1140)))&gt;0),"Neutral",
IF(SUMPRODUCT(--ISNUMBER(SEARCH(TRIM(Keywords!$A$2:$A$16),A1140)))&gt;0,"Positive",
IF(SUMPRODUCT(--ISNUMBER(SEARCH(TRIM(Keywords!$A$2:$B$14),A1140)))&gt;0,"Negative","Neutral")))</f>
        <v>Positive</v>
      </c>
    </row>
    <row r="1141" spans="1:3" hidden="1" x14ac:dyDescent="0.25">
      <c r="A1141" t="s">
        <v>2</v>
      </c>
      <c r="B1141">
        <v>5</v>
      </c>
      <c r="C1141" t="str">
        <f>IF(AND(SUMPRODUCT(--ISNUMBER(SEARCH(TRIM(Keywords!$A$2:$A$16),A1141)))&gt;0,
        SUMPRODUCT(--ISNUMBER(SEARCH(TRIM(Keywords!$B$2:$B$14),A1141)))&gt;0),"Neutral",
IF(SUMPRODUCT(--ISNUMBER(SEARCH(TRIM(Keywords!$A$2:$A$16),A1141)))&gt;0,"Positive",
IF(SUMPRODUCT(--ISNUMBER(SEARCH(TRIM(Keywords!$A$2:$B$14),A1141)))&gt;0,"Negative","Neutral")))</f>
        <v>Positive</v>
      </c>
    </row>
    <row r="1142" spans="1:3" hidden="1" x14ac:dyDescent="0.25">
      <c r="A1142" t="s">
        <v>2</v>
      </c>
      <c r="B1142">
        <v>5</v>
      </c>
      <c r="C1142" t="str">
        <f>IF(AND(SUMPRODUCT(--ISNUMBER(SEARCH(TRIM(Keywords!$A$2:$A$16),A1142)))&gt;0,
        SUMPRODUCT(--ISNUMBER(SEARCH(TRIM(Keywords!$B$2:$B$14),A1142)))&gt;0),"Neutral",
IF(SUMPRODUCT(--ISNUMBER(SEARCH(TRIM(Keywords!$A$2:$A$16),A1142)))&gt;0,"Positive",
IF(SUMPRODUCT(--ISNUMBER(SEARCH(TRIM(Keywords!$A$2:$B$14),A1142)))&gt;0,"Negative","Neutral")))</f>
        <v>Positive</v>
      </c>
    </row>
    <row r="1143" spans="1:3" hidden="1" x14ac:dyDescent="0.25">
      <c r="A1143" t="s">
        <v>392</v>
      </c>
      <c r="B1143">
        <v>5</v>
      </c>
      <c r="C1143" t="str">
        <f>IF(AND(SUMPRODUCT(--ISNUMBER(SEARCH(TRIM(Keywords!$A$2:$A$16),A1143)))&gt;0,
        SUMPRODUCT(--ISNUMBER(SEARCH(TRIM(Keywords!$B$2:$B$14),A1143)))&gt;0),"Neutral",
IF(SUMPRODUCT(--ISNUMBER(SEARCH(TRIM(Keywords!$A$2:$A$16),A1143)))&gt;0,"Positive",
IF(SUMPRODUCT(--ISNUMBER(SEARCH(TRIM(Keywords!$A$2:$B$14),A1143)))&gt;0,"Negative","Neutral")))</f>
        <v>Positive</v>
      </c>
    </row>
    <row r="1144" spans="1:3" x14ac:dyDescent="0.25">
      <c r="A1144" t="s">
        <v>605</v>
      </c>
      <c r="B1144">
        <v>5</v>
      </c>
      <c r="C1144" t="str">
        <f>IF(AND(SUMPRODUCT(--ISNUMBER(SEARCH(TRIM(Keywords!$A$2:$A$16),A1144)))&gt;0,
        SUMPRODUCT(--ISNUMBER(SEARCH(TRIM(Keywords!$B$2:$B$14),A1144)))&gt;0),"Neutral",
IF(SUMPRODUCT(--ISNUMBER(SEARCH(TRIM(Keywords!$A$2:$A$16),A1144)))&gt;0,"Positive",
IF(SUMPRODUCT(--ISNUMBER(SEARCH(TRIM(Keywords!$A$2:$B$14),A1144)))&gt;0,"Negative","Neutral")))</f>
        <v>Neutral</v>
      </c>
    </row>
    <row r="1145" spans="1:3" hidden="1" x14ac:dyDescent="0.25">
      <c r="A1145" t="s">
        <v>24</v>
      </c>
      <c r="B1145">
        <v>5</v>
      </c>
      <c r="C1145" t="str">
        <f>IF(AND(SUMPRODUCT(--ISNUMBER(SEARCH(TRIM(Keywords!$A$2:$A$16),A1145)))&gt;0,
        SUMPRODUCT(--ISNUMBER(SEARCH(TRIM(Keywords!$B$2:$B$14),A1145)))&gt;0),"Neutral",
IF(SUMPRODUCT(--ISNUMBER(SEARCH(TRIM(Keywords!$A$2:$A$16),A1145)))&gt;0,"Positive",
IF(SUMPRODUCT(--ISNUMBER(SEARCH(TRIM(Keywords!$A$2:$B$14),A1145)))&gt;0,"Negative","Neutral")))</f>
        <v>Positive</v>
      </c>
    </row>
    <row r="1146" spans="1:3" hidden="1" x14ac:dyDescent="0.25">
      <c r="A1146" t="s">
        <v>113</v>
      </c>
      <c r="B1146">
        <v>4</v>
      </c>
      <c r="C1146" t="str">
        <f>IF(AND(SUMPRODUCT(--ISNUMBER(SEARCH(TRIM(Keywords!$A$2:$A$16),A1146)))&gt;0,
        SUMPRODUCT(--ISNUMBER(SEARCH(TRIM(Keywords!$B$2:$B$14),A1146)))&gt;0),"Neutral",
IF(SUMPRODUCT(--ISNUMBER(SEARCH(TRIM(Keywords!$A$2:$A$16),A1146)))&gt;0,"Positive",
IF(SUMPRODUCT(--ISNUMBER(SEARCH(TRIM(Keywords!$A$2:$B$14),A1146)))&gt;0,"Negative","Neutral")))</f>
        <v>Positive</v>
      </c>
    </row>
    <row r="1147" spans="1:3" x14ac:dyDescent="0.25">
      <c r="A1147" t="s">
        <v>34</v>
      </c>
      <c r="B1147">
        <v>5</v>
      </c>
      <c r="C1147" t="str">
        <f>IF(AND(SUMPRODUCT(--ISNUMBER(SEARCH(TRIM(Keywords!$A$2:$A$16),A1147)))&gt;0,
        SUMPRODUCT(--ISNUMBER(SEARCH(TRIM(Keywords!$B$2:$B$14),A1147)))&gt;0),"Neutral",
IF(SUMPRODUCT(--ISNUMBER(SEARCH(TRIM(Keywords!$A$2:$A$16),A1147)))&gt;0,"Positive",
IF(SUMPRODUCT(--ISNUMBER(SEARCH(TRIM(Keywords!$A$2:$B$14),A1147)))&gt;0,"Negative","Neutral")))</f>
        <v>Neutral</v>
      </c>
    </row>
    <row r="1148" spans="1:3" hidden="1" x14ac:dyDescent="0.25">
      <c r="A1148" t="s">
        <v>606</v>
      </c>
      <c r="B1148">
        <v>5</v>
      </c>
      <c r="C1148" t="str">
        <f>IF(AND(SUMPRODUCT(--ISNUMBER(SEARCH(TRIM(Keywords!$A$2:$A$16),A1148)))&gt;0,
        SUMPRODUCT(--ISNUMBER(SEARCH(TRIM(Keywords!$B$2:$B$14),A1148)))&gt;0),"Neutral",
IF(SUMPRODUCT(--ISNUMBER(SEARCH(TRIM(Keywords!$A$2:$A$16),A1148)))&gt;0,"Positive",
IF(SUMPRODUCT(--ISNUMBER(SEARCH(TRIM(Keywords!$A$2:$B$14),A1148)))&gt;0,"Negative","Neutral")))</f>
        <v>Positive</v>
      </c>
    </row>
    <row r="1149" spans="1:3" x14ac:dyDescent="0.25">
      <c r="A1149" t="s">
        <v>64</v>
      </c>
      <c r="B1149">
        <v>5</v>
      </c>
      <c r="C1149" t="str">
        <f>IF(AND(SUMPRODUCT(--ISNUMBER(SEARCH(TRIM(Keywords!$A$2:$A$16),A1149)))&gt;0,
        SUMPRODUCT(--ISNUMBER(SEARCH(TRIM(Keywords!$B$2:$B$14),A1149)))&gt;0),"Neutral",
IF(SUMPRODUCT(--ISNUMBER(SEARCH(TRIM(Keywords!$A$2:$A$16),A1149)))&gt;0,"Positive",
IF(SUMPRODUCT(--ISNUMBER(SEARCH(TRIM(Keywords!$A$2:$B$14),A1149)))&gt;0,"Negative","Neutral")))</f>
        <v>Neutral</v>
      </c>
    </row>
    <row r="1150" spans="1:3" hidden="1" x14ac:dyDescent="0.25">
      <c r="A1150" t="s">
        <v>607</v>
      </c>
      <c r="B1150">
        <v>5</v>
      </c>
      <c r="C1150" t="str">
        <f>IF(AND(SUMPRODUCT(--ISNUMBER(SEARCH(TRIM(Keywords!$A$2:$A$16),A1150)))&gt;0,
        SUMPRODUCT(--ISNUMBER(SEARCH(TRIM(Keywords!$B$2:$B$14),A1150)))&gt;0),"Neutral",
IF(SUMPRODUCT(--ISNUMBER(SEARCH(TRIM(Keywords!$A$2:$A$16),A1150)))&gt;0,"Positive",
IF(SUMPRODUCT(--ISNUMBER(SEARCH(TRIM(Keywords!$A$2:$B$14),A1150)))&gt;0,"Negative","Neutral")))</f>
        <v>Positive</v>
      </c>
    </row>
    <row r="1151" spans="1:3" hidden="1" x14ac:dyDescent="0.25">
      <c r="A1151" t="s">
        <v>50</v>
      </c>
      <c r="B1151">
        <v>4</v>
      </c>
      <c r="C1151" t="str">
        <f>IF(AND(SUMPRODUCT(--ISNUMBER(SEARCH(TRIM(Keywords!$A$2:$A$16),A1151)))&gt;0,
        SUMPRODUCT(--ISNUMBER(SEARCH(TRIM(Keywords!$B$2:$B$14),A1151)))&gt;0),"Neutral",
IF(SUMPRODUCT(--ISNUMBER(SEARCH(TRIM(Keywords!$A$2:$A$16),A1151)))&gt;0,"Positive",
IF(SUMPRODUCT(--ISNUMBER(SEARCH(TRIM(Keywords!$A$2:$B$14),A1151)))&gt;0,"Negative","Neutral")))</f>
        <v>Positive</v>
      </c>
    </row>
    <row r="1152" spans="1:3" x14ac:dyDescent="0.25">
      <c r="A1152" t="s">
        <v>608</v>
      </c>
      <c r="B1152">
        <v>1</v>
      </c>
      <c r="C1152" t="str">
        <f>IF(AND(SUMPRODUCT(--ISNUMBER(SEARCH(TRIM(Keywords!$A$2:$A$16),A1152)))&gt;0,
        SUMPRODUCT(--ISNUMBER(SEARCH(TRIM(Keywords!$B$2:$B$14),A1152)))&gt;0),"Neutral",
IF(SUMPRODUCT(--ISNUMBER(SEARCH(TRIM(Keywords!$A$2:$A$16),A1152)))&gt;0,"Positive",
IF(SUMPRODUCT(--ISNUMBER(SEARCH(TRIM(Keywords!$A$2:$B$14),A1152)))&gt;0,"Negative","Neutral")))</f>
        <v>Neutral</v>
      </c>
    </row>
    <row r="1153" spans="1:3" hidden="1" x14ac:dyDescent="0.25">
      <c r="A1153" t="s">
        <v>12</v>
      </c>
      <c r="B1153">
        <v>5</v>
      </c>
      <c r="C1153" t="str">
        <f>IF(AND(SUMPRODUCT(--ISNUMBER(SEARCH(TRIM(Keywords!$A$2:$A$16),A1153)))&gt;0,
        SUMPRODUCT(--ISNUMBER(SEARCH(TRIM(Keywords!$B$2:$B$14),A1153)))&gt;0),"Neutral",
IF(SUMPRODUCT(--ISNUMBER(SEARCH(TRIM(Keywords!$A$2:$A$16),A1153)))&gt;0,"Positive",
IF(SUMPRODUCT(--ISNUMBER(SEARCH(TRIM(Keywords!$A$2:$B$14),A1153)))&gt;0,"Negative","Neutral")))</f>
        <v>Positive</v>
      </c>
    </row>
    <row r="1154" spans="1:3" hidden="1" x14ac:dyDescent="0.25">
      <c r="A1154" t="s">
        <v>8</v>
      </c>
      <c r="B1154">
        <v>5</v>
      </c>
      <c r="C1154" t="str">
        <f>IF(AND(SUMPRODUCT(--ISNUMBER(SEARCH(TRIM(Keywords!$A$2:$A$16),A1154)))&gt;0,
        SUMPRODUCT(--ISNUMBER(SEARCH(TRIM(Keywords!$B$2:$B$14),A1154)))&gt;0),"Neutral",
IF(SUMPRODUCT(--ISNUMBER(SEARCH(TRIM(Keywords!$A$2:$A$16),A1154)))&gt;0,"Positive",
IF(SUMPRODUCT(--ISNUMBER(SEARCH(TRIM(Keywords!$A$2:$B$14),A1154)))&gt;0,"Negative","Neutral")))</f>
        <v>Positive</v>
      </c>
    </row>
    <row r="1155" spans="1:3" x14ac:dyDescent="0.25">
      <c r="A1155" t="s">
        <v>609</v>
      </c>
      <c r="B1155">
        <v>2</v>
      </c>
      <c r="C1155" t="str">
        <f>IF(AND(SUMPRODUCT(--ISNUMBER(SEARCH(TRIM(Keywords!$A$2:$A$16),A1155)))&gt;0,
        SUMPRODUCT(--ISNUMBER(SEARCH(TRIM(Keywords!$B$2:$B$14),A1155)))&gt;0),"Neutral",
IF(SUMPRODUCT(--ISNUMBER(SEARCH(TRIM(Keywords!$A$2:$A$16),A1155)))&gt;0,"Positive",
IF(SUMPRODUCT(--ISNUMBER(SEARCH(TRIM(Keywords!$A$2:$B$14),A1155)))&gt;0,"Negative","Neutral")))</f>
        <v>Neutral</v>
      </c>
    </row>
    <row r="1156" spans="1:3" x14ac:dyDescent="0.25">
      <c r="A1156" t="s">
        <v>610</v>
      </c>
      <c r="B1156">
        <v>5</v>
      </c>
      <c r="C1156" t="str">
        <f>IF(AND(SUMPRODUCT(--ISNUMBER(SEARCH(TRIM(Keywords!$A$2:$A$16),A1156)))&gt;0,
        SUMPRODUCT(--ISNUMBER(SEARCH(TRIM(Keywords!$B$2:$B$14),A1156)))&gt;0),"Neutral",
IF(SUMPRODUCT(--ISNUMBER(SEARCH(TRIM(Keywords!$A$2:$A$16),A1156)))&gt;0,"Positive",
IF(SUMPRODUCT(--ISNUMBER(SEARCH(TRIM(Keywords!$A$2:$B$14),A1156)))&gt;0,"Negative","Neutral")))</f>
        <v>Neutral</v>
      </c>
    </row>
    <row r="1157" spans="1:3" hidden="1" x14ac:dyDescent="0.25">
      <c r="A1157" t="s">
        <v>2</v>
      </c>
      <c r="B1157">
        <v>5</v>
      </c>
      <c r="C1157" t="str">
        <f>IF(AND(SUMPRODUCT(--ISNUMBER(SEARCH(TRIM(Keywords!$A$2:$A$16),A1157)))&gt;0,
        SUMPRODUCT(--ISNUMBER(SEARCH(TRIM(Keywords!$B$2:$B$14),A1157)))&gt;0),"Neutral",
IF(SUMPRODUCT(--ISNUMBER(SEARCH(TRIM(Keywords!$A$2:$A$16),A1157)))&gt;0,"Positive",
IF(SUMPRODUCT(--ISNUMBER(SEARCH(TRIM(Keywords!$A$2:$B$14),A1157)))&gt;0,"Negative","Neutral")))</f>
        <v>Positive</v>
      </c>
    </row>
    <row r="1158" spans="1:3" hidden="1" x14ac:dyDescent="0.25">
      <c r="A1158" t="s">
        <v>2</v>
      </c>
      <c r="B1158">
        <v>5</v>
      </c>
      <c r="C1158" t="str">
        <f>IF(AND(SUMPRODUCT(--ISNUMBER(SEARCH(TRIM(Keywords!$A$2:$A$16),A1158)))&gt;0,
        SUMPRODUCT(--ISNUMBER(SEARCH(TRIM(Keywords!$B$2:$B$14),A1158)))&gt;0),"Neutral",
IF(SUMPRODUCT(--ISNUMBER(SEARCH(TRIM(Keywords!$A$2:$A$16),A1158)))&gt;0,"Positive",
IF(SUMPRODUCT(--ISNUMBER(SEARCH(TRIM(Keywords!$A$2:$B$14),A1158)))&gt;0,"Negative","Neutral")))</f>
        <v>Positive</v>
      </c>
    </row>
    <row r="1159" spans="1:3" x14ac:dyDescent="0.25">
      <c r="A1159" t="s">
        <v>611</v>
      </c>
      <c r="B1159">
        <v>5</v>
      </c>
      <c r="C1159" t="str">
        <f>IF(AND(SUMPRODUCT(--ISNUMBER(SEARCH(TRIM(Keywords!$A$2:$A$16),A1159)))&gt;0,
        SUMPRODUCT(--ISNUMBER(SEARCH(TRIM(Keywords!$B$2:$B$14),A1159)))&gt;0),"Neutral",
IF(SUMPRODUCT(--ISNUMBER(SEARCH(TRIM(Keywords!$A$2:$A$16),A1159)))&gt;0,"Positive",
IF(SUMPRODUCT(--ISNUMBER(SEARCH(TRIM(Keywords!$A$2:$B$14),A1159)))&gt;0,"Negative","Neutral")))</f>
        <v>Neutral</v>
      </c>
    </row>
    <row r="1160" spans="1:3" hidden="1" x14ac:dyDescent="0.25">
      <c r="A1160" t="s">
        <v>2</v>
      </c>
      <c r="B1160">
        <v>5</v>
      </c>
      <c r="C1160" t="str">
        <f>IF(AND(SUMPRODUCT(--ISNUMBER(SEARCH(TRIM(Keywords!$A$2:$A$16),A1160)))&gt;0,
        SUMPRODUCT(--ISNUMBER(SEARCH(TRIM(Keywords!$B$2:$B$14),A1160)))&gt;0),"Neutral",
IF(SUMPRODUCT(--ISNUMBER(SEARCH(TRIM(Keywords!$A$2:$A$16),A1160)))&gt;0,"Positive",
IF(SUMPRODUCT(--ISNUMBER(SEARCH(TRIM(Keywords!$A$2:$B$14),A1160)))&gt;0,"Negative","Neutral")))</f>
        <v>Positive</v>
      </c>
    </row>
    <row r="1161" spans="1:3" hidden="1" x14ac:dyDescent="0.25">
      <c r="A1161" t="s">
        <v>341</v>
      </c>
      <c r="B1161">
        <v>5</v>
      </c>
      <c r="C1161" t="str">
        <f>IF(AND(SUMPRODUCT(--ISNUMBER(SEARCH(TRIM(Keywords!$A$2:$A$16),A1161)))&gt;0,
        SUMPRODUCT(--ISNUMBER(SEARCH(TRIM(Keywords!$B$2:$B$14),A1161)))&gt;0),"Neutral",
IF(SUMPRODUCT(--ISNUMBER(SEARCH(TRIM(Keywords!$A$2:$A$16),A1161)))&gt;0,"Positive",
IF(SUMPRODUCT(--ISNUMBER(SEARCH(TRIM(Keywords!$A$2:$B$14),A1161)))&gt;0,"Negative","Neutral")))</f>
        <v>Positive</v>
      </c>
    </row>
    <row r="1162" spans="1:3" hidden="1" x14ac:dyDescent="0.25">
      <c r="A1162" t="s">
        <v>31</v>
      </c>
      <c r="B1162">
        <v>5</v>
      </c>
      <c r="C1162" t="str">
        <f>IF(AND(SUMPRODUCT(--ISNUMBER(SEARCH(TRIM(Keywords!$A$2:$A$16),A1162)))&gt;0,
        SUMPRODUCT(--ISNUMBER(SEARCH(TRIM(Keywords!$B$2:$B$14),A1162)))&gt;0),"Neutral",
IF(SUMPRODUCT(--ISNUMBER(SEARCH(TRIM(Keywords!$A$2:$A$16),A1162)))&gt;0,"Positive",
IF(SUMPRODUCT(--ISNUMBER(SEARCH(TRIM(Keywords!$A$2:$B$14),A1162)))&gt;0,"Negative","Neutral")))</f>
        <v>Positive</v>
      </c>
    </row>
    <row r="1163" spans="1:3" x14ac:dyDescent="0.25">
      <c r="A1163" t="s">
        <v>36</v>
      </c>
      <c r="B1163">
        <v>3</v>
      </c>
      <c r="C1163" t="str">
        <f>IF(AND(SUMPRODUCT(--ISNUMBER(SEARCH(TRIM(Keywords!$A$2:$A$16),A1163)))&gt;0,
        SUMPRODUCT(--ISNUMBER(SEARCH(TRIM(Keywords!$B$2:$B$14),A1163)))&gt;0),"Neutral",
IF(SUMPRODUCT(--ISNUMBER(SEARCH(TRIM(Keywords!$A$2:$A$16),A1163)))&gt;0,"Positive",
IF(SUMPRODUCT(--ISNUMBER(SEARCH(TRIM(Keywords!$A$2:$B$14),A1163)))&gt;0,"Negative","Neutral")))</f>
        <v>Neutral</v>
      </c>
    </row>
    <row r="1164" spans="1:3" hidden="1" x14ac:dyDescent="0.25">
      <c r="A1164" t="s">
        <v>2</v>
      </c>
      <c r="B1164">
        <v>5</v>
      </c>
      <c r="C1164" t="str">
        <f>IF(AND(SUMPRODUCT(--ISNUMBER(SEARCH(TRIM(Keywords!$A$2:$A$16),A1164)))&gt;0,
        SUMPRODUCT(--ISNUMBER(SEARCH(TRIM(Keywords!$B$2:$B$14),A1164)))&gt;0),"Neutral",
IF(SUMPRODUCT(--ISNUMBER(SEARCH(TRIM(Keywords!$A$2:$A$16),A1164)))&gt;0,"Positive",
IF(SUMPRODUCT(--ISNUMBER(SEARCH(TRIM(Keywords!$A$2:$B$14),A1164)))&gt;0,"Negative","Neutral")))</f>
        <v>Positive</v>
      </c>
    </row>
    <row r="1165" spans="1:3" hidden="1" x14ac:dyDescent="0.25">
      <c r="A1165" t="s">
        <v>612</v>
      </c>
      <c r="B1165">
        <v>5</v>
      </c>
      <c r="C1165" t="str">
        <f>IF(AND(SUMPRODUCT(--ISNUMBER(SEARCH(TRIM(Keywords!$A$2:$A$16),A1165)))&gt;0,
        SUMPRODUCT(--ISNUMBER(SEARCH(TRIM(Keywords!$B$2:$B$14),A1165)))&gt;0),"Neutral",
IF(SUMPRODUCT(--ISNUMBER(SEARCH(TRIM(Keywords!$A$2:$A$16),A1165)))&gt;0,"Positive",
IF(SUMPRODUCT(--ISNUMBER(SEARCH(TRIM(Keywords!$A$2:$B$14),A1165)))&gt;0,"Negative","Neutral")))</f>
        <v>Positive</v>
      </c>
    </row>
    <row r="1166" spans="1:3" hidden="1" x14ac:dyDescent="0.25">
      <c r="A1166" t="s">
        <v>39</v>
      </c>
      <c r="B1166">
        <v>4</v>
      </c>
      <c r="C1166" t="str">
        <f>IF(AND(SUMPRODUCT(--ISNUMBER(SEARCH(TRIM(Keywords!$A$2:$A$16),A1166)))&gt;0,
        SUMPRODUCT(--ISNUMBER(SEARCH(TRIM(Keywords!$B$2:$B$14),A1166)))&gt;0),"Neutral",
IF(SUMPRODUCT(--ISNUMBER(SEARCH(TRIM(Keywords!$A$2:$A$16),A1166)))&gt;0,"Positive",
IF(SUMPRODUCT(--ISNUMBER(SEARCH(TRIM(Keywords!$A$2:$B$14),A1166)))&gt;0,"Negative","Neutral")))</f>
        <v>Positive</v>
      </c>
    </row>
    <row r="1167" spans="1:3" x14ac:dyDescent="0.25">
      <c r="A1167" t="s">
        <v>36</v>
      </c>
      <c r="B1167">
        <v>3</v>
      </c>
      <c r="C1167" t="str">
        <f>IF(AND(SUMPRODUCT(--ISNUMBER(SEARCH(TRIM(Keywords!$A$2:$A$16),A1167)))&gt;0,
        SUMPRODUCT(--ISNUMBER(SEARCH(TRIM(Keywords!$B$2:$B$14),A1167)))&gt;0),"Neutral",
IF(SUMPRODUCT(--ISNUMBER(SEARCH(TRIM(Keywords!$A$2:$A$16),A1167)))&gt;0,"Positive",
IF(SUMPRODUCT(--ISNUMBER(SEARCH(TRIM(Keywords!$A$2:$B$14),A1167)))&gt;0,"Negative","Neutral")))</f>
        <v>Neutral</v>
      </c>
    </row>
    <row r="1168" spans="1:3" hidden="1" x14ac:dyDescent="0.25">
      <c r="A1168" t="s">
        <v>2</v>
      </c>
      <c r="B1168">
        <v>4</v>
      </c>
      <c r="C1168" t="str">
        <f>IF(AND(SUMPRODUCT(--ISNUMBER(SEARCH(TRIM(Keywords!$A$2:$A$16),A1168)))&gt;0,
        SUMPRODUCT(--ISNUMBER(SEARCH(TRIM(Keywords!$B$2:$B$14),A1168)))&gt;0),"Neutral",
IF(SUMPRODUCT(--ISNUMBER(SEARCH(TRIM(Keywords!$A$2:$A$16),A1168)))&gt;0,"Positive",
IF(SUMPRODUCT(--ISNUMBER(SEARCH(TRIM(Keywords!$A$2:$B$14),A1168)))&gt;0,"Negative","Neutral")))</f>
        <v>Positive</v>
      </c>
    </row>
    <row r="1169" spans="1:3" hidden="1" x14ac:dyDescent="0.25">
      <c r="A1169" t="s">
        <v>72</v>
      </c>
      <c r="B1169">
        <v>5</v>
      </c>
      <c r="C1169" t="str">
        <f>IF(AND(SUMPRODUCT(--ISNUMBER(SEARCH(TRIM(Keywords!$A$2:$A$16),A1169)))&gt;0,
        SUMPRODUCT(--ISNUMBER(SEARCH(TRIM(Keywords!$B$2:$B$14),A1169)))&gt;0),"Neutral",
IF(SUMPRODUCT(--ISNUMBER(SEARCH(TRIM(Keywords!$A$2:$A$16),A1169)))&gt;0,"Positive",
IF(SUMPRODUCT(--ISNUMBER(SEARCH(TRIM(Keywords!$A$2:$B$14),A1169)))&gt;0,"Negative","Neutral")))</f>
        <v>Positive</v>
      </c>
    </row>
    <row r="1170" spans="1:3" hidden="1" x14ac:dyDescent="0.25">
      <c r="A1170" t="s">
        <v>2</v>
      </c>
      <c r="B1170">
        <v>5</v>
      </c>
      <c r="C1170" t="str">
        <f>IF(AND(SUMPRODUCT(--ISNUMBER(SEARCH(TRIM(Keywords!$A$2:$A$16),A1170)))&gt;0,
        SUMPRODUCT(--ISNUMBER(SEARCH(TRIM(Keywords!$B$2:$B$14),A1170)))&gt;0),"Neutral",
IF(SUMPRODUCT(--ISNUMBER(SEARCH(TRIM(Keywords!$A$2:$A$16),A1170)))&gt;0,"Positive",
IF(SUMPRODUCT(--ISNUMBER(SEARCH(TRIM(Keywords!$A$2:$B$14),A1170)))&gt;0,"Negative","Neutral")))</f>
        <v>Positive</v>
      </c>
    </row>
    <row r="1171" spans="1:3" hidden="1" x14ac:dyDescent="0.25">
      <c r="A1171" t="s">
        <v>37</v>
      </c>
      <c r="B1171">
        <v>5</v>
      </c>
      <c r="C1171" t="str">
        <f>IF(AND(SUMPRODUCT(--ISNUMBER(SEARCH(TRIM(Keywords!$A$2:$A$16),A1171)))&gt;0,
        SUMPRODUCT(--ISNUMBER(SEARCH(TRIM(Keywords!$B$2:$B$14),A1171)))&gt;0),"Neutral",
IF(SUMPRODUCT(--ISNUMBER(SEARCH(TRIM(Keywords!$A$2:$A$16),A1171)))&gt;0,"Positive",
IF(SUMPRODUCT(--ISNUMBER(SEARCH(TRIM(Keywords!$A$2:$B$14),A1171)))&gt;0,"Negative","Neutral")))</f>
        <v>Positive</v>
      </c>
    </row>
    <row r="1172" spans="1:3" x14ac:dyDescent="0.25">
      <c r="A1172" t="s">
        <v>34</v>
      </c>
      <c r="B1172">
        <v>5</v>
      </c>
      <c r="C1172" t="str">
        <f>IF(AND(SUMPRODUCT(--ISNUMBER(SEARCH(TRIM(Keywords!$A$2:$A$16),A1172)))&gt;0,
        SUMPRODUCT(--ISNUMBER(SEARCH(TRIM(Keywords!$B$2:$B$14),A1172)))&gt;0),"Neutral",
IF(SUMPRODUCT(--ISNUMBER(SEARCH(TRIM(Keywords!$A$2:$A$16),A1172)))&gt;0,"Positive",
IF(SUMPRODUCT(--ISNUMBER(SEARCH(TRIM(Keywords!$A$2:$B$14),A1172)))&gt;0,"Negative","Neutral")))</f>
        <v>Neutral</v>
      </c>
    </row>
    <row r="1173" spans="1:3" hidden="1" x14ac:dyDescent="0.25">
      <c r="A1173" t="s">
        <v>613</v>
      </c>
      <c r="B1173">
        <v>2</v>
      </c>
      <c r="C1173" t="str">
        <f>IF(AND(SUMPRODUCT(--ISNUMBER(SEARCH(TRIM(Keywords!$A$2:$A$16),A1173)))&gt;0,
        SUMPRODUCT(--ISNUMBER(SEARCH(TRIM(Keywords!$B$2:$B$14),A1173)))&gt;0),"Neutral",
IF(SUMPRODUCT(--ISNUMBER(SEARCH(TRIM(Keywords!$A$2:$A$16),A1173)))&gt;0,"Positive",
IF(SUMPRODUCT(--ISNUMBER(SEARCH(TRIM(Keywords!$A$2:$B$14),A1173)))&gt;0,"Negative","Neutral")))</f>
        <v>Positive</v>
      </c>
    </row>
    <row r="1174" spans="1:3" hidden="1" x14ac:dyDescent="0.25">
      <c r="A1174" t="s">
        <v>2</v>
      </c>
      <c r="B1174">
        <v>3</v>
      </c>
      <c r="C1174" t="str">
        <f>IF(AND(SUMPRODUCT(--ISNUMBER(SEARCH(TRIM(Keywords!$A$2:$A$16),A1174)))&gt;0,
        SUMPRODUCT(--ISNUMBER(SEARCH(TRIM(Keywords!$B$2:$B$14),A1174)))&gt;0),"Neutral",
IF(SUMPRODUCT(--ISNUMBER(SEARCH(TRIM(Keywords!$A$2:$A$16),A1174)))&gt;0,"Positive",
IF(SUMPRODUCT(--ISNUMBER(SEARCH(TRIM(Keywords!$A$2:$B$14),A1174)))&gt;0,"Negative","Neutral")))</f>
        <v>Positive</v>
      </c>
    </row>
    <row r="1175" spans="1:3" hidden="1" x14ac:dyDescent="0.25">
      <c r="A1175" t="s">
        <v>254</v>
      </c>
      <c r="B1175">
        <v>5</v>
      </c>
      <c r="C1175" t="str">
        <f>IF(AND(SUMPRODUCT(--ISNUMBER(SEARCH(TRIM(Keywords!$A$2:$A$16),A1175)))&gt;0,
        SUMPRODUCT(--ISNUMBER(SEARCH(TRIM(Keywords!$B$2:$B$14),A1175)))&gt;0),"Neutral",
IF(SUMPRODUCT(--ISNUMBER(SEARCH(TRIM(Keywords!$A$2:$A$16),A1175)))&gt;0,"Positive",
IF(SUMPRODUCT(--ISNUMBER(SEARCH(TRIM(Keywords!$A$2:$B$14),A1175)))&gt;0,"Negative","Neutral")))</f>
        <v>Positive</v>
      </c>
    </row>
    <row r="1176" spans="1:3" hidden="1" x14ac:dyDescent="0.25">
      <c r="A1176" t="s">
        <v>2</v>
      </c>
      <c r="B1176">
        <v>5</v>
      </c>
      <c r="C1176" t="str">
        <f>IF(AND(SUMPRODUCT(--ISNUMBER(SEARCH(TRIM(Keywords!$A$2:$A$16),A1176)))&gt;0,
        SUMPRODUCT(--ISNUMBER(SEARCH(TRIM(Keywords!$B$2:$B$14),A1176)))&gt;0),"Neutral",
IF(SUMPRODUCT(--ISNUMBER(SEARCH(TRIM(Keywords!$A$2:$A$16),A1176)))&gt;0,"Positive",
IF(SUMPRODUCT(--ISNUMBER(SEARCH(TRIM(Keywords!$A$2:$B$14),A1176)))&gt;0,"Negative","Neutral")))</f>
        <v>Positive</v>
      </c>
    </row>
    <row r="1177" spans="1:3" hidden="1" x14ac:dyDescent="0.25">
      <c r="A1177" t="s">
        <v>38</v>
      </c>
      <c r="B1177">
        <v>5</v>
      </c>
      <c r="C1177" t="str">
        <f>IF(AND(SUMPRODUCT(--ISNUMBER(SEARCH(TRIM(Keywords!$A$2:$A$16),A1177)))&gt;0,
        SUMPRODUCT(--ISNUMBER(SEARCH(TRIM(Keywords!$B$2:$B$14),A1177)))&gt;0),"Neutral",
IF(SUMPRODUCT(--ISNUMBER(SEARCH(TRIM(Keywords!$A$2:$A$16),A1177)))&gt;0,"Positive",
IF(SUMPRODUCT(--ISNUMBER(SEARCH(TRIM(Keywords!$A$2:$B$14),A1177)))&gt;0,"Negative","Neutral")))</f>
        <v>Positive</v>
      </c>
    </row>
    <row r="1178" spans="1:3" x14ac:dyDescent="0.25">
      <c r="A1178" t="s">
        <v>64</v>
      </c>
      <c r="B1178">
        <v>5</v>
      </c>
      <c r="C1178" t="str">
        <f>IF(AND(SUMPRODUCT(--ISNUMBER(SEARCH(TRIM(Keywords!$A$2:$A$16),A1178)))&gt;0,
        SUMPRODUCT(--ISNUMBER(SEARCH(TRIM(Keywords!$B$2:$B$14),A1178)))&gt;0),"Neutral",
IF(SUMPRODUCT(--ISNUMBER(SEARCH(TRIM(Keywords!$A$2:$A$16),A1178)))&gt;0,"Positive",
IF(SUMPRODUCT(--ISNUMBER(SEARCH(TRIM(Keywords!$A$2:$B$14),A1178)))&gt;0,"Negative","Neutral")))</f>
        <v>Neutral</v>
      </c>
    </row>
    <row r="1179" spans="1:3" hidden="1" x14ac:dyDescent="0.25">
      <c r="A1179" t="s">
        <v>37</v>
      </c>
      <c r="B1179">
        <v>5</v>
      </c>
      <c r="C1179" t="str">
        <f>IF(AND(SUMPRODUCT(--ISNUMBER(SEARCH(TRIM(Keywords!$A$2:$A$16),A1179)))&gt;0,
        SUMPRODUCT(--ISNUMBER(SEARCH(TRIM(Keywords!$B$2:$B$14),A1179)))&gt;0),"Neutral",
IF(SUMPRODUCT(--ISNUMBER(SEARCH(TRIM(Keywords!$A$2:$A$16),A1179)))&gt;0,"Positive",
IF(SUMPRODUCT(--ISNUMBER(SEARCH(TRIM(Keywords!$A$2:$B$14),A1179)))&gt;0,"Negative","Neutral")))</f>
        <v>Positive</v>
      </c>
    </row>
    <row r="1180" spans="1:3" x14ac:dyDescent="0.25">
      <c r="A1180" t="s">
        <v>34</v>
      </c>
      <c r="B1180">
        <v>5</v>
      </c>
      <c r="C1180" t="str">
        <f>IF(AND(SUMPRODUCT(--ISNUMBER(SEARCH(TRIM(Keywords!$A$2:$A$16),A1180)))&gt;0,
        SUMPRODUCT(--ISNUMBER(SEARCH(TRIM(Keywords!$B$2:$B$14),A1180)))&gt;0),"Neutral",
IF(SUMPRODUCT(--ISNUMBER(SEARCH(TRIM(Keywords!$A$2:$A$16),A1180)))&gt;0,"Positive",
IF(SUMPRODUCT(--ISNUMBER(SEARCH(TRIM(Keywords!$A$2:$B$14),A1180)))&gt;0,"Negative","Neutral")))</f>
        <v>Neutral</v>
      </c>
    </row>
    <row r="1181" spans="1:3" hidden="1" x14ac:dyDescent="0.25">
      <c r="A1181" t="s">
        <v>2</v>
      </c>
      <c r="B1181">
        <v>5</v>
      </c>
      <c r="C1181" t="str">
        <f>IF(AND(SUMPRODUCT(--ISNUMBER(SEARCH(TRIM(Keywords!$A$2:$A$16),A1181)))&gt;0,
        SUMPRODUCT(--ISNUMBER(SEARCH(TRIM(Keywords!$B$2:$B$14),A1181)))&gt;0),"Neutral",
IF(SUMPRODUCT(--ISNUMBER(SEARCH(TRIM(Keywords!$A$2:$A$16),A1181)))&gt;0,"Positive",
IF(SUMPRODUCT(--ISNUMBER(SEARCH(TRIM(Keywords!$A$2:$B$14),A1181)))&gt;0,"Negative","Neutral")))</f>
        <v>Positive</v>
      </c>
    </row>
    <row r="1182" spans="1:3" hidden="1" x14ac:dyDescent="0.25">
      <c r="A1182" t="s">
        <v>2</v>
      </c>
      <c r="B1182">
        <v>5</v>
      </c>
      <c r="C1182" t="str">
        <f>IF(AND(SUMPRODUCT(--ISNUMBER(SEARCH(TRIM(Keywords!$A$2:$A$16),A1182)))&gt;0,
        SUMPRODUCT(--ISNUMBER(SEARCH(TRIM(Keywords!$B$2:$B$14),A1182)))&gt;0),"Neutral",
IF(SUMPRODUCT(--ISNUMBER(SEARCH(TRIM(Keywords!$A$2:$A$16),A1182)))&gt;0,"Positive",
IF(SUMPRODUCT(--ISNUMBER(SEARCH(TRIM(Keywords!$A$2:$B$14),A1182)))&gt;0,"Negative","Neutral")))</f>
        <v>Positive</v>
      </c>
    </row>
    <row r="1183" spans="1:3" x14ac:dyDescent="0.25">
      <c r="A1183" t="s">
        <v>614</v>
      </c>
      <c r="B1183">
        <v>5</v>
      </c>
      <c r="C1183" t="str">
        <f>IF(AND(SUMPRODUCT(--ISNUMBER(SEARCH(TRIM(Keywords!$A$2:$A$16),A1183)))&gt;0,
        SUMPRODUCT(--ISNUMBER(SEARCH(TRIM(Keywords!$B$2:$B$14),A1183)))&gt;0),"Neutral",
IF(SUMPRODUCT(--ISNUMBER(SEARCH(TRIM(Keywords!$A$2:$A$16),A1183)))&gt;0,"Positive",
IF(SUMPRODUCT(--ISNUMBER(SEARCH(TRIM(Keywords!$A$2:$B$14),A1183)))&gt;0,"Negative","Neutral")))</f>
        <v>Neutral</v>
      </c>
    </row>
    <row r="1184" spans="1:3" x14ac:dyDescent="0.25">
      <c r="A1184" t="s">
        <v>36</v>
      </c>
      <c r="B1184">
        <v>5</v>
      </c>
      <c r="C1184" t="str">
        <f>IF(AND(SUMPRODUCT(--ISNUMBER(SEARCH(TRIM(Keywords!$A$2:$A$16),A1184)))&gt;0,
        SUMPRODUCT(--ISNUMBER(SEARCH(TRIM(Keywords!$B$2:$B$14),A1184)))&gt;0),"Neutral",
IF(SUMPRODUCT(--ISNUMBER(SEARCH(TRIM(Keywords!$A$2:$A$16),A1184)))&gt;0,"Positive",
IF(SUMPRODUCT(--ISNUMBER(SEARCH(TRIM(Keywords!$A$2:$B$14),A1184)))&gt;0,"Negative","Neutral")))</f>
        <v>Neutral</v>
      </c>
    </row>
    <row r="1185" spans="1:3" hidden="1" x14ac:dyDescent="0.25">
      <c r="A1185" t="s">
        <v>615</v>
      </c>
      <c r="B1185">
        <v>4</v>
      </c>
      <c r="C1185" t="str">
        <f>IF(AND(SUMPRODUCT(--ISNUMBER(SEARCH(TRIM(Keywords!$A$2:$A$16),A1185)))&gt;0,
        SUMPRODUCT(--ISNUMBER(SEARCH(TRIM(Keywords!$B$2:$B$14),A1185)))&gt;0),"Neutral",
IF(SUMPRODUCT(--ISNUMBER(SEARCH(TRIM(Keywords!$A$2:$A$16),A1185)))&gt;0,"Positive",
IF(SUMPRODUCT(--ISNUMBER(SEARCH(TRIM(Keywords!$A$2:$B$14),A1185)))&gt;0,"Negative","Neutral")))</f>
        <v>Positive</v>
      </c>
    </row>
    <row r="1186" spans="1:3" x14ac:dyDescent="0.25">
      <c r="A1186" t="s">
        <v>616</v>
      </c>
      <c r="B1186">
        <v>4</v>
      </c>
      <c r="C1186" t="str">
        <f>IF(AND(SUMPRODUCT(--ISNUMBER(SEARCH(TRIM(Keywords!$A$2:$A$16),A1186)))&gt;0,
        SUMPRODUCT(--ISNUMBER(SEARCH(TRIM(Keywords!$B$2:$B$14),A1186)))&gt;0),"Neutral",
IF(SUMPRODUCT(--ISNUMBER(SEARCH(TRIM(Keywords!$A$2:$A$16),A1186)))&gt;0,"Positive",
IF(SUMPRODUCT(--ISNUMBER(SEARCH(TRIM(Keywords!$A$2:$B$14),A1186)))&gt;0,"Negative","Neutral")))</f>
        <v>Neutral</v>
      </c>
    </row>
    <row r="1187" spans="1:3" x14ac:dyDescent="0.25">
      <c r="A1187" t="s">
        <v>617</v>
      </c>
      <c r="B1187">
        <v>5</v>
      </c>
      <c r="C1187" t="str">
        <f>IF(AND(SUMPRODUCT(--ISNUMBER(SEARCH(TRIM(Keywords!$A$2:$A$16),A1187)))&gt;0,
        SUMPRODUCT(--ISNUMBER(SEARCH(TRIM(Keywords!$B$2:$B$14),A1187)))&gt;0),"Neutral",
IF(SUMPRODUCT(--ISNUMBER(SEARCH(TRIM(Keywords!$A$2:$A$16),A1187)))&gt;0,"Positive",
IF(SUMPRODUCT(--ISNUMBER(SEARCH(TRIM(Keywords!$A$2:$B$14),A1187)))&gt;0,"Negative","Neutral")))</f>
        <v>Neutral</v>
      </c>
    </row>
    <row r="1188" spans="1:3" hidden="1" x14ac:dyDescent="0.25">
      <c r="A1188" t="s">
        <v>37</v>
      </c>
      <c r="B1188">
        <v>5</v>
      </c>
      <c r="C1188" t="str">
        <f>IF(AND(SUMPRODUCT(--ISNUMBER(SEARCH(TRIM(Keywords!$A$2:$A$16),A1188)))&gt;0,
        SUMPRODUCT(--ISNUMBER(SEARCH(TRIM(Keywords!$B$2:$B$14),A1188)))&gt;0),"Neutral",
IF(SUMPRODUCT(--ISNUMBER(SEARCH(TRIM(Keywords!$A$2:$A$16),A1188)))&gt;0,"Positive",
IF(SUMPRODUCT(--ISNUMBER(SEARCH(TRIM(Keywords!$A$2:$B$14),A1188)))&gt;0,"Negative","Neutral")))</f>
        <v>Positive</v>
      </c>
    </row>
    <row r="1189" spans="1:3" hidden="1" x14ac:dyDescent="0.25">
      <c r="A1189" t="s">
        <v>2</v>
      </c>
      <c r="B1189">
        <v>4</v>
      </c>
      <c r="C1189" t="str">
        <f>IF(AND(SUMPRODUCT(--ISNUMBER(SEARCH(TRIM(Keywords!$A$2:$A$16),A1189)))&gt;0,
        SUMPRODUCT(--ISNUMBER(SEARCH(TRIM(Keywords!$B$2:$B$14),A1189)))&gt;0),"Neutral",
IF(SUMPRODUCT(--ISNUMBER(SEARCH(TRIM(Keywords!$A$2:$A$16),A1189)))&gt;0,"Positive",
IF(SUMPRODUCT(--ISNUMBER(SEARCH(TRIM(Keywords!$A$2:$B$14),A1189)))&gt;0,"Negative","Neutral")))</f>
        <v>Positive</v>
      </c>
    </row>
    <row r="1190" spans="1:3" x14ac:dyDescent="0.25">
      <c r="A1190" t="s">
        <v>618</v>
      </c>
      <c r="B1190">
        <v>5</v>
      </c>
      <c r="C1190" t="str">
        <f>IF(AND(SUMPRODUCT(--ISNUMBER(SEARCH(TRIM(Keywords!$A$2:$A$16),A1190)))&gt;0,
        SUMPRODUCT(--ISNUMBER(SEARCH(TRIM(Keywords!$B$2:$B$14),A1190)))&gt;0),"Neutral",
IF(SUMPRODUCT(--ISNUMBER(SEARCH(TRIM(Keywords!$A$2:$A$16),A1190)))&gt;0,"Positive",
IF(SUMPRODUCT(--ISNUMBER(SEARCH(TRIM(Keywords!$A$2:$B$14),A1190)))&gt;0,"Negative","Neutral")))</f>
        <v>Neutral</v>
      </c>
    </row>
    <row r="1191" spans="1:3" hidden="1" x14ac:dyDescent="0.25">
      <c r="A1191" t="s">
        <v>619</v>
      </c>
      <c r="B1191">
        <v>1</v>
      </c>
      <c r="C1191" t="str">
        <f>IF(AND(SUMPRODUCT(--ISNUMBER(SEARCH(TRIM(Keywords!$A$2:$A$16),A1191)))&gt;0,
        SUMPRODUCT(--ISNUMBER(SEARCH(TRIM(Keywords!$B$2:$B$14),A1191)))&gt;0),"Neutral",
IF(SUMPRODUCT(--ISNUMBER(SEARCH(TRIM(Keywords!$A$2:$A$16),A1191)))&gt;0,"Positive",
IF(SUMPRODUCT(--ISNUMBER(SEARCH(TRIM(Keywords!$A$2:$B$14),A1191)))&gt;0,"Negative","Neutral")))</f>
        <v>Positive</v>
      </c>
    </row>
    <row r="1192" spans="1:3" hidden="1" x14ac:dyDescent="0.25">
      <c r="A1192" t="s">
        <v>37</v>
      </c>
      <c r="B1192">
        <v>4</v>
      </c>
      <c r="C1192" t="str">
        <f>IF(AND(SUMPRODUCT(--ISNUMBER(SEARCH(TRIM(Keywords!$A$2:$A$16),A1192)))&gt;0,
        SUMPRODUCT(--ISNUMBER(SEARCH(TRIM(Keywords!$B$2:$B$14),A1192)))&gt;0),"Neutral",
IF(SUMPRODUCT(--ISNUMBER(SEARCH(TRIM(Keywords!$A$2:$A$16),A1192)))&gt;0,"Positive",
IF(SUMPRODUCT(--ISNUMBER(SEARCH(TRIM(Keywords!$A$2:$B$14),A1192)))&gt;0,"Negative","Neutral")))</f>
        <v>Positive</v>
      </c>
    </row>
    <row r="1193" spans="1:3" hidden="1" x14ac:dyDescent="0.25">
      <c r="A1193" t="s">
        <v>37</v>
      </c>
      <c r="B1193">
        <v>5</v>
      </c>
      <c r="C1193" t="str">
        <f>IF(AND(SUMPRODUCT(--ISNUMBER(SEARCH(TRIM(Keywords!$A$2:$A$16),A1193)))&gt;0,
        SUMPRODUCT(--ISNUMBER(SEARCH(TRIM(Keywords!$B$2:$B$14),A1193)))&gt;0),"Neutral",
IF(SUMPRODUCT(--ISNUMBER(SEARCH(TRIM(Keywords!$A$2:$A$16),A1193)))&gt;0,"Positive",
IF(SUMPRODUCT(--ISNUMBER(SEARCH(TRIM(Keywords!$A$2:$B$14),A1193)))&gt;0,"Negative","Neutral")))</f>
        <v>Positive</v>
      </c>
    </row>
    <row r="1194" spans="1:3" hidden="1" x14ac:dyDescent="0.25">
      <c r="A1194" t="s">
        <v>2</v>
      </c>
      <c r="B1194">
        <v>3</v>
      </c>
      <c r="C1194" t="str">
        <f>IF(AND(SUMPRODUCT(--ISNUMBER(SEARCH(TRIM(Keywords!$A$2:$A$16),A1194)))&gt;0,
        SUMPRODUCT(--ISNUMBER(SEARCH(TRIM(Keywords!$B$2:$B$14),A1194)))&gt;0),"Neutral",
IF(SUMPRODUCT(--ISNUMBER(SEARCH(TRIM(Keywords!$A$2:$A$16),A1194)))&gt;0,"Positive",
IF(SUMPRODUCT(--ISNUMBER(SEARCH(TRIM(Keywords!$A$2:$B$14),A1194)))&gt;0,"Negative","Neutral")))</f>
        <v>Positive</v>
      </c>
    </row>
    <row r="1195" spans="1:3" x14ac:dyDescent="0.25">
      <c r="A1195" t="s">
        <v>620</v>
      </c>
      <c r="B1195">
        <v>5</v>
      </c>
      <c r="C1195" t="str">
        <f>IF(AND(SUMPRODUCT(--ISNUMBER(SEARCH(TRIM(Keywords!$A$2:$A$16),A1195)))&gt;0,
        SUMPRODUCT(--ISNUMBER(SEARCH(TRIM(Keywords!$B$2:$B$14),A1195)))&gt;0),"Neutral",
IF(SUMPRODUCT(--ISNUMBER(SEARCH(TRIM(Keywords!$A$2:$A$16),A1195)))&gt;0,"Positive",
IF(SUMPRODUCT(--ISNUMBER(SEARCH(TRIM(Keywords!$A$2:$B$14),A1195)))&gt;0,"Negative","Neutral")))</f>
        <v>Neutral</v>
      </c>
    </row>
    <row r="1196" spans="1:3" hidden="1" x14ac:dyDescent="0.25">
      <c r="A1196" t="s">
        <v>621</v>
      </c>
      <c r="B1196">
        <v>5</v>
      </c>
      <c r="C1196" t="str">
        <f>IF(AND(SUMPRODUCT(--ISNUMBER(SEARCH(TRIM(Keywords!$A$2:$A$16),A1196)))&gt;0,
        SUMPRODUCT(--ISNUMBER(SEARCH(TRIM(Keywords!$B$2:$B$14),A1196)))&gt;0),"Neutral",
IF(SUMPRODUCT(--ISNUMBER(SEARCH(TRIM(Keywords!$A$2:$A$16),A1196)))&gt;0,"Positive",
IF(SUMPRODUCT(--ISNUMBER(SEARCH(TRIM(Keywords!$A$2:$B$14),A1196)))&gt;0,"Negative","Neutral")))</f>
        <v>Positive</v>
      </c>
    </row>
    <row r="1197" spans="1:3" x14ac:dyDescent="0.25">
      <c r="A1197" t="s">
        <v>312</v>
      </c>
      <c r="B1197">
        <v>5</v>
      </c>
      <c r="C1197" t="str">
        <f>IF(AND(SUMPRODUCT(--ISNUMBER(SEARCH(TRIM(Keywords!$A$2:$A$16),A1197)))&gt;0,
        SUMPRODUCT(--ISNUMBER(SEARCH(TRIM(Keywords!$B$2:$B$14),A1197)))&gt;0),"Neutral",
IF(SUMPRODUCT(--ISNUMBER(SEARCH(TRIM(Keywords!$A$2:$A$16),A1197)))&gt;0,"Positive",
IF(SUMPRODUCT(--ISNUMBER(SEARCH(TRIM(Keywords!$A$2:$B$14),A1197)))&gt;0,"Negative","Neutral")))</f>
        <v>Neutral</v>
      </c>
    </row>
    <row r="1198" spans="1:3" x14ac:dyDescent="0.25">
      <c r="A1198" t="s">
        <v>622</v>
      </c>
      <c r="B1198">
        <v>1</v>
      </c>
      <c r="C1198" t="str">
        <f>IF(AND(SUMPRODUCT(--ISNUMBER(SEARCH(TRIM(Keywords!$A$2:$A$16),A1198)))&gt;0,
        SUMPRODUCT(--ISNUMBER(SEARCH(TRIM(Keywords!$B$2:$B$14),A1198)))&gt;0),"Neutral",
IF(SUMPRODUCT(--ISNUMBER(SEARCH(TRIM(Keywords!$A$2:$A$16),A1198)))&gt;0,"Positive",
IF(SUMPRODUCT(--ISNUMBER(SEARCH(TRIM(Keywords!$A$2:$B$14),A1198)))&gt;0,"Negative","Neutral")))</f>
        <v>Neutral</v>
      </c>
    </row>
    <row r="1199" spans="1:3" hidden="1" x14ac:dyDescent="0.25">
      <c r="A1199" t="s">
        <v>2</v>
      </c>
      <c r="B1199">
        <v>5</v>
      </c>
      <c r="C1199" t="str">
        <f>IF(AND(SUMPRODUCT(--ISNUMBER(SEARCH(TRIM(Keywords!$A$2:$A$16),A1199)))&gt;0,
        SUMPRODUCT(--ISNUMBER(SEARCH(TRIM(Keywords!$B$2:$B$14),A1199)))&gt;0),"Neutral",
IF(SUMPRODUCT(--ISNUMBER(SEARCH(TRIM(Keywords!$A$2:$A$16),A1199)))&gt;0,"Positive",
IF(SUMPRODUCT(--ISNUMBER(SEARCH(TRIM(Keywords!$A$2:$B$14),A1199)))&gt;0,"Negative","Neutral")))</f>
        <v>Positive</v>
      </c>
    </row>
    <row r="1200" spans="1:3" x14ac:dyDescent="0.25">
      <c r="A1200" t="s">
        <v>623</v>
      </c>
      <c r="B1200">
        <v>5</v>
      </c>
      <c r="C1200" t="str">
        <f>IF(AND(SUMPRODUCT(--ISNUMBER(SEARCH(TRIM(Keywords!$A$2:$A$16),A1200)))&gt;0,
        SUMPRODUCT(--ISNUMBER(SEARCH(TRIM(Keywords!$B$2:$B$14),A1200)))&gt;0),"Neutral",
IF(SUMPRODUCT(--ISNUMBER(SEARCH(TRIM(Keywords!$A$2:$A$16),A1200)))&gt;0,"Positive",
IF(SUMPRODUCT(--ISNUMBER(SEARCH(TRIM(Keywords!$A$2:$B$14),A1200)))&gt;0,"Negative","Neutral")))</f>
        <v>Neutral</v>
      </c>
    </row>
    <row r="1201" spans="1:3" x14ac:dyDescent="0.25">
      <c r="A1201" t="s">
        <v>624</v>
      </c>
      <c r="B1201">
        <v>5</v>
      </c>
      <c r="C1201" t="str">
        <f>IF(AND(SUMPRODUCT(--ISNUMBER(SEARCH(TRIM(Keywords!$A$2:$A$16),A1201)))&gt;0,
        SUMPRODUCT(--ISNUMBER(SEARCH(TRIM(Keywords!$B$2:$B$14),A1201)))&gt;0),"Neutral",
IF(SUMPRODUCT(--ISNUMBER(SEARCH(TRIM(Keywords!$A$2:$A$16),A1201)))&gt;0,"Positive",
IF(SUMPRODUCT(--ISNUMBER(SEARCH(TRIM(Keywords!$A$2:$B$14),A1201)))&gt;0,"Negative","Neutral")))</f>
        <v>Neutral</v>
      </c>
    </row>
    <row r="1202" spans="1:3" hidden="1" x14ac:dyDescent="0.25">
      <c r="A1202" t="s">
        <v>2</v>
      </c>
      <c r="B1202">
        <v>4</v>
      </c>
      <c r="C1202" t="str">
        <f>IF(AND(SUMPRODUCT(--ISNUMBER(SEARCH(TRIM(Keywords!$A$2:$A$16),A1202)))&gt;0,
        SUMPRODUCT(--ISNUMBER(SEARCH(TRIM(Keywords!$B$2:$B$14),A1202)))&gt;0),"Neutral",
IF(SUMPRODUCT(--ISNUMBER(SEARCH(TRIM(Keywords!$A$2:$A$16),A1202)))&gt;0,"Positive",
IF(SUMPRODUCT(--ISNUMBER(SEARCH(TRIM(Keywords!$A$2:$B$14),A1202)))&gt;0,"Negative","Neutral")))</f>
        <v>Positive</v>
      </c>
    </row>
    <row r="1203" spans="1:3" hidden="1" x14ac:dyDescent="0.25">
      <c r="A1203" t="s">
        <v>2</v>
      </c>
      <c r="B1203">
        <v>5</v>
      </c>
      <c r="C1203" t="str">
        <f>IF(AND(SUMPRODUCT(--ISNUMBER(SEARCH(TRIM(Keywords!$A$2:$A$16),A1203)))&gt;0,
        SUMPRODUCT(--ISNUMBER(SEARCH(TRIM(Keywords!$B$2:$B$14),A1203)))&gt;0),"Neutral",
IF(SUMPRODUCT(--ISNUMBER(SEARCH(TRIM(Keywords!$A$2:$A$16),A1203)))&gt;0,"Positive",
IF(SUMPRODUCT(--ISNUMBER(SEARCH(TRIM(Keywords!$A$2:$B$14),A1203)))&gt;0,"Negative","Neutral")))</f>
        <v>Positive</v>
      </c>
    </row>
    <row r="1204" spans="1:3" hidden="1" x14ac:dyDescent="0.25">
      <c r="A1204" t="s">
        <v>2</v>
      </c>
      <c r="B1204">
        <v>5</v>
      </c>
      <c r="C1204" t="str">
        <f>IF(AND(SUMPRODUCT(--ISNUMBER(SEARCH(TRIM(Keywords!$A$2:$A$16),A1204)))&gt;0,
        SUMPRODUCT(--ISNUMBER(SEARCH(TRIM(Keywords!$B$2:$B$14),A1204)))&gt;0),"Neutral",
IF(SUMPRODUCT(--ISNUMBER(SEARCH(TRIM(Keywords!$A$2:$A$16),A1204)))&gt;0,"Positive",
IF(SUMPRODUCT(--ISNUMBER(SEARCH(TRIM(Keywords!$A$2:$B$14),A1204)))&gt;0,"Negative","Neutral")))</f>
        <v>Positive</v>
      </c>
    </row>
    <row r="1205" spans="1:3" hidden="1" x14ac:dyDescent="0.25">
      <c r="A1205" t="s">
        <v>124</v>
      </c>
      <c r="B1205">
        <v>5</v>
      </c>
      <c r="C1205" t="str">
        <f>IF(AND(SUMPRODUCT(--ISNUMBER(SEARCH(TRIM(Keywords!$A$2:$A$16),A1205)))&gt;0,
        SUMPRODUCT(--ISNUMBER(SEARCH(TRIM(Keywords!$B$2:$B$14),A1205)))&gt;0),"Neutral",
IF(SUMPRODUCT(--ISNUMBER(SEARCH(TRIM(Keywords!$A$2:$A$16),A1205)))&gt;0,"Positive",
IF(SUMPRODUCT(--ISNUMBER(SEARCH(TRIM(Keywords!$A$2:$B$14),A1205)))&gt;0,"Negative","Neutral")))</f>
        <v>Positive</v>
      </c>
    </row>
    <row r="1206" spans="1:3" hidden="1" x14ac:dyDescent="0.25">
      <c r="A1206" t="s">
        <v>625</v>
      </c>
      <c r="B1206">
        <v>2</v>
      </c>
      <c r="C1206" t="str">
        <f>IF(AND(SUMPRODUCT(--ISNUMBER(SEARCH(TRIM(Keywords!$A$2:$A$16),A1206)))&gt;0,
        SUMPRODUCT(--ISNUMBER(SEARCH(TRIM(Keywords!$B$2:$B$14),A1206)))&gt;0),"Neutral",
IF(SUMPRODUCT(--ISNUMBER(SEARCH(TRIM(Keywords!$A$2:$A$16),A1206)))&gt;0,"Positive",
IF(SUMPRODUCT(--ISNUMBER(SEARCH(TRIM(Keywords!$A$2:$B$14),A1206)))&gt;0,"Negative","Neutral")))</f>
        <v>Positive</v>
      </c>
    </row>
    <row r="1207" spans="1:3" x14ac:dyDescent="0.25">
      <c r="A1207" t="s">
        <v>36</v>
      </c>
      <c r="B1207">
        <v>5</v>
      </c>
      <c r="C1207" t="str">
        <f>IF(AND(SUMPRODUCT(--ISNUMBER(SEARCH(TRIM(Keywords!$A$2:$A$16),A1207)))&gt;0,
        SUMPRODUCT(--ISNUMBER(SEARCH(TRIM(Keywords!$B$2:$B$14),A1207)))&gt;0),"Neutral",
IF(SUMPRODUCT(--ISNUMBER(SEARCH(TRIM(Keywords!$A$2:$A$16),A1207)))&gt;0,"Positive",
IF(SUMPRODUCT(--ISNUMBER(SEARCH(TRIM(Keywords!$A$2:$B$14),A1207)))&gt;0,"Negative","Neutral")))</f>
        <v>Neutral</v>
      </c>
    </row>
    <row r="1208" spans="1:3" hidden="1" x14ac:dyDescent="0.25">
      <c r="A1208" t="s">
        <v>2</v>
      </c>
      <c r="B1208">
        <v>5</v>
      </c>
      <c r="C1208" t="str">
        <f>IF(AND(SUMPRODUCT(--ISNUMBER(SEARCH(TRIM(Keywords!$A$2:$A$16),A1208)))&gt;0,
        SUMPRODUCT(--ISNUMBER(SEARCH(TRIM(Keywords!$B$2:$B$14),A1208)))&gt;0),"Neutral",
IF(SUMPRODUCT(--ISNUMBER(SEARCH(TRIM(Keywords!$A$2:$A$16),A1208)))&gt;0,"Positive",
IF(SUMPRODUCT(--ISNUMBER(SEARCH(TRIM(Keywords!$A$2:$B$14),A1208)))&gt;0,"Negative","Neutral")))</f>
        <v>Positive</v>
      </c>
    </row>
    <row r="1209" spans="1:3" hidden="1" x14ac:dyDescent="0.25">
      <c r="A1209" t="s">
        <v>626</v>
      </c>
      <c r="B1209">
        <v>2</v>
      </c>
      <c r="C1209" t="str">
        <f>IF(AND(SUMPRODUCT(--ISNUMBER(SEARCH(TRIM(Keywords!$A$2:$A$16),A1209)))&gt;0,
        SUMPRODUCT(--ISNUMBER(SEARCH(TRIM(Keywords!$B$2:$B$14),A1209)))&gt;0),"Neutral",
IF(SUMPRODUCT(--ISNUMBER(SEARCH(TRIM(Keywords!$A$2:$A$16),A1209)))&gt;0,"Positive",
IF(SUMPRODUCT(--ISNUMBER(SEARCH(TRIM(Keywords!$A$2:$B$14),A1209)))&gt;0,"Negative","Neutral")))</f>
        <v>Negative</v>
      </c>
    </row>
    <row r="1210" spans="1:3" hidden="1" x14ac:dyDescent="0.25">
      <c r="A1210" t="s">
        <v>2</v>
      </c>
      <c r="B1210">
        <v>5</v>
      </c>
      <c r="C1210" t="str">
        <f>IF(AND(SUMPRODUCT(--ISNUMBER(SEARCH(TRIM(Keywords!$A$2:$A$16),A1210)))&gt;0,
        SUMPRODUCT(--ISNUMBER(SEARCH(TRIM(Keywords!$B$2:$B$14),A1210)))&gt;0),"Neutral",
IF(SUMPRODUCT(--ISNUMBER(SEARCH(TRIM(Keywords!$A$2:$A$16),A1210)))&gt;0,"Positive",
IF(SUMPRODUCT(--ISNUMBER(SEARCH(TRIM(Keywords!$A$2:$B$14),A1210)))&gt;0,"Negative","Neutral")))</f>
        <v>Positive</v>
      </c>
    </row>
    <row r="1211" spans="1:3" hidden="1" x14ac:dyDescent="0.25">
      <c r="A1211" t="s">
        <v>627</v>
      </c>
      <c r="B1211">
        <v>5</v>
      </c>
      <c r="C1211" t="str">
        <f>IF(AND(SUMPRODUCT(--ISNUMBER(SEARCH(TRIM(Keywords!$A$2:$A$16),A1211)))&gt;0,
        SUMPRODUCT(--ISNUMBER(SEARCH(TRIM(Keywords!$B$2:$B$14),A1211)))&gt;0),"Neutral",
IF(SUMPRODUCT(--ISNUMBER(SEARCH(TRIM(Keywords!$A$2:$A$16),A1211)))&gt;0,"Positive",
IF(SUMPRODUCT(--ISNUMBER(SEARCH(TRIM(Keywords!$A$2:$B$14),A1211)))&gt;0,"Negative","Neutral")))</f>
        <v>Negative</v>
      </c>
    </row>
    <row r="1212" spans="1:3" hidden="1" x14ac:dyDescent="0.25">
      <c r="A1212" t="s">
        <v>628</v>
      </c>
      <c r="B1212">
        <v>5</v>
      </c>
      <c r="C1212" t="str">
        <f>IF(AND(SUMPRODUCT(--ISNUMBER(SEARCH(TRIM(Keywords!$A$2:$A$16),A1212)))&gt;0,
        SUMPRODUCT(--ISNUMBER(SEARCH(TRIM(Keywords!$B$2:$B$14),A1212)))&gt;0),"Neutral",
IF(SUMPRODUCT(--ISNUMBER(SEARCH(TRIM(Keywords!$A$2:$A$16),A1212)))&gt;0,"Positive",
IF(SUMPRODUCT(--ISNUMBER(SEARCH(TRIM(Keywords!$A$2:$B$14),A1212)))&gt;0,"Negative","Neutral")))</f>
        <v>Positive</v>
      </c>
    </row>
    <row r="1213" spans="1:3" x14ac:dyDescent="0.25">
      <c r="A1213" t="s">
        <v>488</v>
      </c>
      <c r="B1213">
        <v>5</v>
      </c>
      <c r="C1213" t="str">
        <f>IF(AND(SUMPRODUCT(--ISNUMBER(SEARCH(TRIM(Keywords!$A$2:$A$16),A1213)))&gt;0,
        SUMPRODUCT(--ISNUMBER(SEARCH(TRIM(Keywords!$B$2:$B$14),A1213)))&gt;0),"Neutral",
IF(SUMPRODUCT(--ISNUMBER(SEARCH(TRIM(Keywords!$A$2:$A$16),A1213)))&gt;0,"Positive",
IF(SUMPRODUCT(--ISNUMBER(SEARCH(TRIM(Keywords!$A$2:$B$14),A1213)))&gt;0,"Negative","Neutral")))</f>
        <v>Neutral</v>
      </c>
    </row>
    <row r="1214" spans="1:3" x14ac:dyDescent="0.25">
      <c r="A1214" t="s">
        <v>36</v>
      </c>
      <c r="B1214">
        <v>5</v>
      </c>
      <c r="C1214" t="str">
        <f>IF(AND(SUMPRODUCT(--ISNUMBER(SEARCH(TRIM(Keywords!$A$2:$A$16),A1214)))&gt;0,
        SUMPRODUCT(--ISNUMBER(SEARCH(TRIM(Keywords!$B$2:$B$14),A1214)))&gt;0),"Neutral",
IF(SUMPRODUCT(--ISNUMBER(SEARCH(TRIM(Keywords!$A$2:$A$16),A1214)))&gt;0,"Positive",
IF(SUMPRODUCT(--ISNUMBER(SEARCH(TRIM(Keywords!$A$2:$B$14),A1214)))&gt;0,"Negative","Neutral")))</f>
        <v>Neutral</v>
      </c>
    </row>
    <row r="1215" spans="1:3" x14ac:dyDescent="0.25">
      <c r="A1215" t="s">
        <v>64</v>
      </c>
      <c r="B1215">
        <v>1</v>
      </c>
      <c r="C1215" t="str">
        <f>IF(AND(SUMPRODUCT(--ISNUMBER(SEARCH(TRIM(Keywords!$A$2:$A$16),A1215)))&gt;0,
        SUMPRODUCT(--ISNUMBER(SEARCH(TRIM(Keywords!$B$2:$B$14),A1215)))&gt;0),"Neutral",
IF(SUMPRODUCT(--ISNUMBER(SEARCH(TRIM(Keywords!$A$2:$A$16),A1215)))&gt;0,"Positive",
IF(SUMPRODUCT(--ISNUMBER(SEARCH(TRIM(Keywords!$A$2:$B$14),A1215)))&gt;0,"Negative","Neutral")))</f>
        <v>Neutral</v>
      </c>
    </row>
    <row r="1216" spans="1:3" x14ac:dyDescent="0.25">
      <c r="A1216" t="s">
        <v>413</v>
      </c>
      <c r="B1216">
        <v>3</v>
      </c>
      <c r="C1216" t="str">
        <f>IF(AND(SUMPRODUCT(--ISNUMBER(SEARCH(TRIM(Keywords!$A$2:$A$16),A1216)))&gt;0,
        SUMPRODUCT(--ISNUMBER(SEARCH(TRIM(Keywords!$B$2:$B$14),A1216)))&gt;0),"Neutral",
IF(SUMPRODUCT(--ISNUMBER(SEARCH(TRIM(Keywords!$A$2:$A$16),A1216)))&gt;0,"Positive",
IF(SUMPRODUCT(--ISNUMBER(SEARCH(TRIM(Keywords!$A$2:$B$14),A1216)))&gt;0,"Negative","Neutral")))</f>
        <v>Neutral</v>
      </c>
    </row>
    <row r="1217" spans="1:3" hidden="1" x14ac:dyDescent="0.25">
      <c r="A1217" t="s">
        <v>37</v>
      </c>
      <c r="B1217">
        <v>4</v>
      </c>
      <c r="C1217" t="str">
        <f>IF(AND(SUMPRODUCT(--ISNUMBER(SEARCH(TRIM(Keywords!$A$2:$A$16),A1217)))&gt;0,
        SUMPRODUCT(--ISNUMBER(SEARCH(TRIM(Keywords!$B$2:$B$14),A1217)))&gt;0),"Neutral",
IF(SUMPRODUCT(--ISNUMBER(SEARCH(TRIM(Keywords!$A$2:$A$16),A1217)))&gt;0,"Positive",
IF(SUMPRODUCT(--ISNUMBER(SEARCH(TRIM(Keywords!$A$2:$B$14),A1217)))&gt;0,"Negative","Neutral")))</f>
        <v>Positive</v>
      </c>
    </row>
    <row r="1218" spans="1:3" hidden="1" x14ac:dyDescent="0.25">
      <c r="A1218" t="s">
        <v>50</v>
      </c>
      <c r="B1218">
        <v>5</v>
      </c>
      <c r="C1218" t="str">
        <f>IF(AND(SUMPRODUCT(--ISNUMBER(SEARCH(TRIM(Keywords!$A$2:$A$16),A1218)))&gt;0,
        SUMPRODUCT(--ISNUMBER(SEARCH(TRIM(Keywords!$B$2:$B$14),A1218)))&gt;0),"Neutral",
IF(SUMPRODUCT(--ISNUMBER(SEARCH(TRIM(Keywords!$A$2:$A$16),A1218)))&gt;0,"Positive",
IF(SUMPRODUCT(--ISNUMBER(SEARCH(TRIM(Keywords!$A$2:$B$14),A1218)))&gt;0,"Negative","Neutral")))</f>
        <v>Positive</v>
      </c>
    </row>
    <row r="1219" spans="1:3" x14ac:dyDescent="0.25">
      <c r="A1219" t="s">
        <v>36</v>
      </c>
      <c r="B1219">
        <v>3</v>
      </c>
      <c r="C1219" t="str">
        <f>IF(AND(SUMPRODUCT(--ISNUMBER(SEARCH(TRIM(Keywords!$A$2:$A$16),A1219)))&gt;0,
        SUMPRODUCT(--ISNUMBER(SEARCH(TRIM(Keywords!$B$2:$B$14),A1219)))&gt;0),"Neutral",
IF(SUMPRODUCT(--ISNUMBER(SEARCH(TRIM(Keywords!$A$2:$A$16),A1219)))&gt;0,"Positive",
IF(SUMPRODUCT(--ISNUMBER(SEARCH(TRIM(Keywords!$A$2:$B$14),A1219)))&gt;0,"Negative","Neutral")))</f>
        <v>Neutral</v>
      </c>
    </row>
    <row r="1220" spans="1:3" hidden="1" x14ac:dyDescent="0.25">
      <c r="A1220" t="s">
        <v>2</v>
      </c>
      <c r="B1220">
        <v>5</v>
      </c>
      <c r="C1220" t="str">
        <f>IF(AND(SUMPRODUCT(--ISNUMBER(SEARCH(TRIM(Keywords!$A$2:$A$16),A1220)))&gt;0,
        SUMPRODUCT(--ISNUMBER(SEARCH(TRIM(Keywords!$B$2:$B$14),A1220)))&gt;0),"Neutral",
IF(SUMPRODUCT(--ISNUMBER(SEARCH(TRIM(Keywords!$A$2:$A$16),A1220)))&gt;0,"Positive",
IF(SUMPRODUCT(--ISNUMBER(SEARCH(TRIM(Keywords!$A$2:$B$14),A1220)))&gt;0,"Negative","Neutral")))</f>
        <v>Positive</v>
      </c>
    </row>
    <row r="1221" spans="1:3" x14ac:dyDescent="0.25">
      <c r="A1221" t="s">
        <v>629</v>
      </c>
      <c r="B1221">
        <v>3</v>
      </c>
      <c r="C1221" t="str">
        <f>IF(AND(SUMPRODUCT(--ISNUMBER(SEARCH(TRIM(Keywords!$A$2:$A$16),A1221)))&gt;0,
        SUMPRODUCT(--ISNUMBER(SEARCH(TRIM(Keywords!$B$2:$B$14),A1221)))&gt;0),"Neutral",
IF(SUMPRODUCT(--ISNUMBER(SEARCH(TRIM(Keywords!$A$2:$A$16),A1221)))&gt;0,"Positive",
IF(SUMPRODUCT(--ISNUMBER(SEARCH(TRIM(Keywords!$A$2:$B$14),A1221)))&gt;0,"Negative","Neutral")))</f>
        <v>Neutral</v>
      </c>
    </row>
    <row r="1222" spans="1:3" x14ac:dyDescent="0.25">
      <c r="A1222" t="s">
        <v>630</v>
      </c>
      <c r="B1222">
        <v>5</v>
      </c>
      <c r="C1222" t="str">
        <f>IF(AND(SUMPRODUCT(--ISNUMBER(SEARCH(TRIM(Keywords!$A$2:$A$16),A1222)))&gt;0,
        SUMPRODUCT(--ISNUMBER(SEARCH(TRIM(Keywords!$B$2:$B$14),A1222)))&gt;0),"Neutral",
IF(SUMPRODUCT(--ISNUMBER(SEARCH(TRIM(Keywords!$A$2:$A$16),A1222)))&gt;0,"Positive",
IF(SUMPRODUCT(--ISNUMBER(SEARCH(TRIM(Keywords!$A$2:$B$14),A1222)))&gt;0,"Negative","Neutral")))</f>
        <v>Neutral</v>
      </c>
    </row>
    <row r="1223" spans="1:3" x14ac:dyDescent="0.25">
      <c r="A1223" t="s">
        <v>36</v>
      </c>
      <c r="B1223">
        <v>3</v>
      </c>
      <c r="C1223" t="str">
        <f>IF(AND(SUMPRODUCT(--ISNUMBER(SEARCH(TRIM(Keywords!$A$2:$A$16),A1223)))&gt;0,
        SUMPRODUCT(--ISNUMBER(SEARCH(TRIM(Keywords!$B$2:$B$14),A1223)))&gt;0),"Neutral",
IF(SUMPRODUCT(--ISNUMBER(SEARCH(TRIM(Keywords!$A$2:$A$16),A1223)))&gt;0,"Positive",
IF(SUMPRODUCT(--ISNUMBER(SEARCH(TRIM(Keywords!$A$2:$B$14),A1223)))&gt;0,"Negative","Neutral")))</f>
        <v>Neutral</v>
      </c>
    </row>
    <row r="1224" spans="1:3" hidden="1" x14ac:dyDescent="0.25">
      <c r="A1224" t="s">
        <v>39</v>
      </c>
      <c r="B1224">
        <v>5</v>
      </c>
      <c r="C1224" t="str">
        <f>IF(AND(SUMPRODUCT(--ISNUMBER(SEARCH(TRIM(Keywords!$A$2:$A$16),A1224)))&gt;0,
        SUMPRODUCT(--ISNUMBER(SEARCH(TRIM(Keywords!$B$2:$B$14),A1224)))&gt;0),"Neutral",
IF(SUMPRODUCT(--ISNUMBER(SEARCH(TRIM(Keywords!$A$2:$A$16),A1224)))&gt;0,"Positive",
IF(SUMPRODUCT(--ISNUMBER(SEARCH(TRIM(Keywords!$A$2:$B$14),A1224)))&gt;0,"Negative","Neutral")))</f>
        <v>Positive</v>
      </c>
    </row>
    <row r="1225" spans="1:3" x14ac:dyDescent="0.25">
      <c r="A1225" t="s">
        <v>299</v>
      </c>
      <c r="B1225">
        <v>3</v>
      </c>
      <c r="C1225" t="str">
        <f>IF(AND(SUMPRODUCT(--ISNUMBER(SEARCH(TRIM(Keywords!$A$2:$A$16),A1225)))&gt;0,
        SUMPRODUCT(--ISNUMBER(SEARCH(TRIM(Keywords!$B$2:$B$14),A1225)))&gt;0),"Neutral",
IF(SUMPRODUCT(--ISNUMBER(SEARCH(TRIM(Keywords!$A$2:$A$16),A1225)))&gt;0,"Positive",
IF(SUMPRODUCT(--ISNUMBER(SEARCH(TRIM(Keywords!$A$2:$B$14),A1225)))&gt;0,"Negative","Neutral")))</f>
        <v>Neutral</v>
      </c>
    </row>
    <row r="1226" spans="1:3" hidden="1" x14ac:dyDescent="0.25">
      <c r="A1226" t="s">
        <v>631</v>
      </c>
      <c r="B1226">
        <v>5</v>
      </c>
      <c r="C1226" t="str">
        <f>IF(AND(SUMPRODUCT(--ISNUMBER(SEARCH(TRIM(Keywords!$A$2:$A$16),A1226)))&gt;0,
        SUMPRODUCT(--ISNUMBER(SEARCH(TRIM(Keywords!$B$2:$B$14),A1226)))&gt;0),"Neutral",
IF(SUMPRODUCT(--ISNUMBER(SEARCH(TRIM(Keywords!$A$2:$A$16),A1226)))&gt;0,"Positive",
IF(SUMPRODUCT(--ISNUMBER(SEARCH(TRIM(Keywords!$A$2:$B$14),A1226)))&gt;0,"Negative","Neutral")))</f>
        <v>Positive</v>
      </c>
    </row>
    <row r="1227" spans="1:3" hidden="1" x14ac:dyDescent="0.25">
      <c r="A1227" t="s">
        <v>4</v>
      </c>
      <c r="B1227">
        <v>4</v>
      </c>
      <c r="C1227" t="str">
        <f>IF(AND(SUMPRODUCT(--ISNUMBER(SEARCH(TRIM(Keywords!$A$2:$A$16),A1227)))&gt;0,
        SUMPRODUCT(--ISNUMBER(SEARCH(TRIM(Keywords!$B$2:$B$14),A1227)))&gt;0),"Neutral",
IF(SUMPRODUCT(--ISNUMBER(SEARCH(TRIM(Keywords!$A$2:$A$16),A1227)))&gt;0,"Positive",
IF(SUMPRODUCT(--ISNUMBER(SEARCH(TRIM(Keywords!$A$2:$B$14),A1227)))&gt;0,"Negative","Neutral")))</f>
        <v>Positive</v>
      </c>
    </row>
    <row r="1228" spans="1:3" x14ac:dyDescent="0.25">
      <c r="A1228" t="s">
        <v>632</v>
      </c>
      <c r="B1228">
        <v>3</v>
      </c>
      <c r="C1228" t="str">
        <f>IF(AND(SUMPRODUCT(--ISNUMBER(SEARCH(TRIM(Keywords!$A$2:$A$16),A1228)))&gt;0,
        SUMPRODUCT(--ISNUMBER(SEARCH(TRIM(Keywords!$B$2:$B$14),A1228)))&gt;0),"Neutral",
IF(SUMPRODUCT(--ISNUMBER(SEARCH(TRIM(Keywords!$A$2:$A$16),A1228)))&gt;0,"Positive",
IF(SUMPRODUCT(--ISNUMBER(SEARCH(TRIM(Keywords!$A$2:$B$14),A1228)))&gt;0,"Negative","Neutral")))</f>
        <v>Neutral</v>
      </c>
    </row>
    <row r="1229" spans="1:3" hidden="1" x14ac:dyDescent="0.25">
      <c r="A1229" t="s">
        <v>633</v>
      </c>
      <c r="B1229">
        <v>1</v>
      </c>
      <c r="C1229" t="str">
        <f>IF(AND(SUMPRODUCT(--ISNUMBER(SEARCH(TRIM(Keywords!$A$2:$A$16),A1229)))&gt;0,
        SUMPRODUCT(--ISNUMBER(SEARCH(TRIM(Keywords!$B$2:$B$14),A1229)))&gt;0),"Neutral",
IF(SUMPRODUCT(--ISNUMBER(SEARCH(TRIM(Keywords!$A$2:$A$16),A1229)))&gt;0,"Positive",
IF(SUMPRODUCT(--ISNUMBER(SEARCH(TRIM(Keywords!$A$2:$B$14),A1229)))&gt;0,"Negative","Neutral")))</f>
        <v>Negative</v>
      </c>
    </row>
    <row r="1230" spans="1:3" hidden="1" x14ac:dyDescent="0.25">
      <c r="A1230" t="s">
        <v>341</v>
      </c>
      <c r="B1230">
        <v>5</v>
      </c>
      <c r="C1230" t="str">
        <f>IF(AND(SUMPRODUCT(--ISNUMBER(SEARCH(TRIM(Keywords!$A$2:$A$16),A1230)))&gt;0,
        SUMPRODUCT(--ISNUMBER(SEARCH(TRIM(Keywords!$B$2:$B$14),A1230)))&gt;0),"Neutral",
IF(SUMPRODUCT(--ISNUMBER(SEARCH(TRIM(Keywords!$A$2:$A$16),A1230)))&gt;0,"Positive",
IF(SUMPRODUCT(--ISNUMBER(SEARCH(TRIM(Keywords!$A$2:$B$14),A1230)))&gt;0,"Negative","Neutral")))</f>
        <v>Positive</v>
      </c>
    </row>
    <row r="1231" spans="1:3" hidden="1" x14ac:dyDescent="0.25">
      <c r="A1231" t="s">
        <v>145</v>
      </c>
      <c r="B1231">
        <v>4</v>
      </c>
      <c r="C1231" t="str">
        <f>IF(AND(SUMPRODUCT(--ISNUMBER(SEARCH(TRIM(Keywords!$A$2:$A$16),A1231)))&gt;0,
        SUMPRODUCT(--ISNUMBER(SEARCH(TRIM(Keywords!$B$2:$B$14),A1231)))&gt;0),"Neutral",
IF(SUMPRODUCT(--ISNUMBER(SEARCH(TRIM(Keywords!$A$2:$A$16),A1231)))&gt;0,"Positive",
IF(SUMPRODUCT(--ISNUMBER(SEARCH(TRIM(Keywords!$A$2:$B$14),A1231)))&gt;0,"Negative","Neutral")))</f>
        <v>Positive</v>
      </c>
    </row>
    <row r="1232" spans="1:3" hidden="1" x14ac:dyDescent="0.25">
      <c r="A1232" t="s">
        <v>634</v>
      </c>
      <c r="B1232">
        <v>1</v>
      </c>
      <c r="C1232" t="str">
        <f>IF(AND(SUMPRODUCT(--ISNUMBER(SEARCH(TRIM(Keywords!$A$2:$A$16),A1232)))&gt;0,
        SUMPRODUCT(--ISNUMBER(SEARCH(TRIM(Keywords!$B$2:$B$14),A1232)))&gt;0),"Neutral",
IF(SUMPRODUCT(--ISNUMBER(SEARCH(TRIM(Keywords!$A$2:$A$16),A1232)))&gt;0,"Positive",
IF(SUMPRODUCT(--ISNUMBER(SEARCH(TRIM(Keywords!$A$2:$B$14),A1232)))&gt;0,"Negative","Neutral")))</f>
        <v>Negative</v>
      </c>
    </row>
    <row r="1233" spans="1:3" x14ac:dyDescent="0.25">
      <c r="A1233" t="s">
        <v>635</v>
      </c>
      <c r="B1233">
        <v>3</v>
      </c>
      <c r="C1233" t="str">
        <f>IF(AND(SUMPRODUCT(--ISNUMBER(SEARCH(TRIM(Keywords!$A$2:$A$16),A1233)))&gt;0,
        SUMPRODUCT(--ISNUMBER(SEARCH(TRIM(Keywords!$B$2:$B$14),A1233)))&gt;0),"Neutral",
IF(SUMPRODUCT(--ISNUMBER(SEARCH(TRIM(Keywords!$A$2:$A$16),A1233)))&gt;0,"Positive",
IF(SUMPRODUCT(--ISNUMBER(SEARCH(TRIM(Keywords!$A$2:$B$14),A1233)))&gt;0,"Negative","Neutral")))</f>
        <v>Neutral</v>
      </c>
    </row>
    <row r="1234" spans="1:3" x14ac:dyDescent="0.25">
      <c r="A1234" t="s">
        <v>636</v>
      </c>
      <c r="B1234">
        <v>5</v>
      </c>
      <c r="C1234" t="str">
        <f>IF(AND(SUMPRODUCT(--ISNUMBER(SEARCH(TRIM(Keywords!$A$2:$A$16),A1234)))&gt;0,
        SUMPRODUCT(--ISNUMBER(SEARCH(TRIM(Keywords!$B$2:$B$14),A1234)))&gt;0),"Neutral",
IF(SUMPRODUCT(--ISNUMBER(SEARCH(TRIM(Keywords!$A$2:$A$16),A1234)))&gt;0,"Positive",
IF(SUMPRODUCT(--ISNUMBER(SEARCH(TRIM(Keywords!$A$2:$B$14),A1234)))&gt;0,"Negative","Neutral")))</f>
        <v>Neutral</v>
      </c>
    </row>
    <row r="1235" spans="1:3" x14ac:dyDescent="0.25">
      <c r="A1235" t="s">
        <v>637</v>
      </c>
      <c r="B1235">
        <v>1</v>
      </c>
      <c r="C1235" t="str">
        <f>IF(AND(SUMPRODUCT(--ISNUMBER(SEARCH(TRIM(Keywords!$A$2:$A$16),A1235)))&gt;0,
        SUMPRODUCT(--ISNUMBER(SEARCH(TRIM(Keywords!$B$2:$B$14),A1235)))&gt;0),"Neutral",
IF(SUMPRODUCT(--ISNUMBER(SEARCH(TRIM(Keywords!$A$2:$A$16),A1235)))&gt;0,"Positive",
IF(SUMPRODUCT(--ISNUMBER(SEARCH(TRIM(Keywords!$A$2:$B$14),A1235)))&gt;0,"Negative","Neutral")))</f>
        <v>Neutral</v>
      </c>
    </row>
    <row r="1236" spans="1:3" hidden="1" x14ac:dyDescent="0.25">
      <c r="A1236" t="s">
        <v>2</v>
      </c>
      <c r="B1236">
        <v>5</v>
      </c>
      <c r="C1236" t="str">
        <f>IF(AND(SUMPRODUCT(--ISNUMBER(SEARCH(TRIM(Keywords!$A$2:$A$16),A1236)))&gt;0,
        SUMPRODUCT(--ISNUMBER(SEARCH(TRIM(Keywords!$B$2:$B$14),A1236)))&gt;0),"Neutral",
IF(SUMPRODUCT(--ISNUMBER(SEARCH(TRIM(Keywords!$A$2:$A$16),A1236)))&gt;0,"Positive",
IF(SUMPRODUCT(--ISNUMBER(SEARCH(TRIM(Keywords!$A$2:$B$14),A1236)))&gt;0,"Negative","Neutral")))</f>
        <v>Positive</v>
      </c>
    </row>
    <row r="1237" spans="1:3" x14ac:dyDescent="0.25">
      <c r="A1237" t="s">
        <v>638</v>
      </c>
      <c r="B1237">
        <v>5</v>
      </c>
      <c r="C1237" t="str">
        <f>IF(AND(SUMPRODUCT(--ISNUMBER(SEARCH(TRIM(Keywords!$A$2:$A$16),A1237)))&gt;0,
        SUMPRODUCT(--ISNUMBER(SEARCH(TRIM(Keywords!$B$2:$B$14),A1237)))&gt;0),"Neutral",
IF(SUMPRODUCT(--ISNUMBER(SEARCH(TRIM(Keywords!$A$2:$A$16),A1237)))&gt;0,"Positive",
IF(SUMPRODUCT(--ISNUMBER(SEARCH(TRIM(Keywords!$A$2:$B$14),A1237)))&gt;0,"Negative","Neutral")))</f>
        <v>Neutral</v>
      </c>
    </row>
    <row r="1238" spans="1:3" hidden="1" x14ac:dyDescent="0.25">
      <c r="A1238" t="s">
        <v>639</v>
      </c>
      <c r="B1238">
        <v>4</v>
      </c>
      <c r="C1238" t="str">
        <f>IF(AND(SUMPRODUCT(--ISNUMBER(SEARCH(TRIM(Keywords!$A$2:$A$16),A1238)))&gt;0,
        SUMPRODUCT(--ISNUMBER(SEARCH(TRIM(Keywords!$B$2:$B$14),A1238)))&gt;0),"Neutral",
IF(SUMPRODUCT(--ISNUMBER(SEARCH(TRIM(Keywords!$A$2:$A$16),A1238)))&gt;0,"Positive",
IF(SUMPRODUCT(--ISNUMBER(SEARCH(TRIM(Keywords!$A$2:$B$14),A1238)))&gt;0,"Negative","Neutral")))</f>
        <v>Positive</v>
      </c>
    </row>
    <row r="1239" spans="1:3" x14ac:dyDescent="0.25">
      <c r="A1239" t="s">
        <v>640</v>
      </c>
      <c r="B1239">
        <v>1</v>
      </c>
      <c r="C1239" t="str">
        <f>IF(AND(SUMPRODUCT(--ISNUMBER(SEARCH(TRIM(Keywords!$A$2:$A$16),A1239)))&gt;0,
        SUMPRODUCT(--ISNUMBER(SEARCH(TRIM(Keywords!$B$2:$B$14),A1239)))&gt;0),"Neutral",
IF(SUMPRODUCT(--ISNUMBER(SEARCH(TRIM(Keywords!$A$2:$A$16),A1239)))&gt;0,"Positive",
IF(SUMPRODUCT(--ISNUMBER(SEARCH(TRIM(Keywords!$A$2:$B$14),A1239)))&gt;0,"Negative","Neutral")))</f>
        <v>Neutral</v>
      </c>
    </row>
    <row r="1240" spans="1:3" x14ac:dyDescent="0.25">
      <c r="A1240" t="s">
        <v>641</v>
      </c>
      <c r="B1240">
        <v>5</v>
      </c>
      <c r="C1240" t="str">
        <f>IF(AND(SUMPRODUCT(--ISNUMBER(SEARCH(TRIM(Keywords!$A$2:$A$16),A1240)))&gt;0,
        SUMPRODUCT(--ISNUMBER(SEARCH(TRIM(Keywords!$B$2:$B$14),A1240)))&gt;0),"Neutral",
IF(SUMPRODUCT(--ISNUMBER(SEARCH(TRIM(Keywords!$A$2:$A$16),A1240)))&gt;0,"Positive",
IF(SUMPRODUCT(--ISNUMBER(SEARCH(TRIM(Keywords!$A$2:$B$14),A1240)))&gt;0,"Negative","Neutral")))</f>
        <v>Neutral</v>
      </c>
    </row>
    <row r="1241" spans="1:3" x14ac:dyDescent="0.25">
      <c r="A1241" t="s">
        <v>36</v>
      </c>
      <c r="B1241">
        <v>5</v>
      </c>
      <c r="C1241" t="str">
        <f>IF(AND(SUMPRODUCT(--ISNUMBER(SEARCH(TRIM(Keywords!$A$2:$A$16),A1241)))&gt;0,
        SUMPRODUCT(--ISNUMBER(SEARCH(TRIM(Keywords!$B$2:$B$14),A1241)))&gt;0),"Neutral",
IF(SUMPRODUCT(--ISNUMBER(SEARCH(TRIM(Keywords!$A$2:$A$16),A1241)))&gt;0,"Positive",
IF(SUMPRODUCT(--ISNUMBER(SEARCH(TRIM(Keywords!$A$2:$B$14),A1241)))&gt;0,"Negative","Neutral")))</f>
        <v>Neutral</v>
      </c>
    </row>
    <row r="1242" spans="1:3" hidden="1" x14ac:dyDescent="0.25">
      <c r="A1242" t="s">
        <v>642</v>
      </c>
      <c r="B1242">
        <v>3</v>
      </c>
      <c r="C1242" t="str">
        <f>IF(AND(SUMPRODUCT(--ISNUMBER(SEARCH(TRIM(Keywords!$A$2:$A$16),A1242)))&gt;0,
        SUMPRODUCT(--ISNUMBER(SEARCH(TRIM(Keywords!$B$2:$B$14),A1242)))&gt;0),"Neutral",
IF(SUMPRODUCT(--ISNUMBER(SEARCH(TRIM(Keywords!$A$2:$A$16),A1242)))&gt;0,"Positive",
IF(SUMPRODUCT(--ISNUMBER(SEARCH(TRIM(Keywords!$A$2:$B$14),A1242)))&gt;0,"Negative","Neutral")))</f>
        <v>Negative</v>
      </c>
    </row>
    <row r="1243" spans="1:3" hidden="1" x14ac:dyDescent="0.25">
      <c r="A1243" t="s">
        <v>2</v>
      </c>
      <c r="B1243">
        <v>5</v>
      </c>
      <c r="C1243" t="str">
        <f>IF(AND(SUMPRODUCT(--ISNUMBER(SEARCH(TRIM(Keywords!$A$2:$A$16),A1243)))&gt;0,
        SUMPRODUCT(--ISNUMBER(SEARCH(TRIM(Keywords!$B$2:$B$14),A1243)))&gt;0),"Neutral",
IF(SUMPRODUCT(--ISNUMBER(SEARCH(TRIM(Keywords!$A$2:$A$16),A1243)))&gt;0,"Positive",
IF(SUMPRODUCT(--ISNUMBER(SEARCH(TRIM(Keywords!$A$2:$B$14),A1243)))&gt;0,"Negative","Neutral")))</f>
        <v>Positive</v>
      </c>
    </row>
    <row r="1244" spans="1:3" x14ac:dyDescent="0.25">
      <c r="A1244" t="s">
        <v>36</v>
      </c>
      <c r="B1244">
        <v>3</v>
      </c>
      <c r="C1244" t="str">
        <f>IF(AND(SUMPRODUCT(--ISNUMBER(SEARCH(TRIM(Keywords!$A$2:$A$16),A1244)))&gt;0,
        SUMPRODUCT(--ISNUMBER(SEARCH(TRIM(Keywords!$B$2:$B$14),A1244)))&gt;0),"Neutral",
IF(SUMPRODUCT(--ISNUMBER(SEARCH(TRIM(Keywords!$A$2:$A$16),A1244)))&gt;0,"Positive",
IF(SUMPRODUCT(--ISNUMBER(SEARCH(TRIM(Keywords!$A$2:$B$14),A1244)))&gt;0,"Negative","Neutral")))</f>
        <v>Neutral</v>
      </c>
    </row>
    <row r="1245" spans="1:3" x14ac:dyDescent="0.25">
      <c r="A1245" t="s">
        <v>36</v>
      </c>
      <c r="B1245">
        <v>3</v>
      </c>
      <c r="C1245" t="str">
        <f>IF(AND(SUMPRODUCT(--ISNUMBER(SEARCH(TRIM(Keywords!$A$2:$A$16),A1245)))&gt;0,
        SUMPRODUCT(--ISNUMBER(SEARCH(TRIM(Keywords!$B$2:$B$14),A1245)))&gt;0),"Neutral",
IF(SUMPRODUCT(--ISNUMBER(SEARCH(TRIM(Keywords!$A$2:$A$16),A1245)))&gt;0,"Positive",
IF(SUMPRODUCT(--ISNUMBER(SEARCH(TRIM(Keywords!$A$2:$B$14),A1245)))&gt;0,"Negative","Neutral")))</f>
        <v>Neutral</v>
      </c>
    </row>
    <row r="1246" spans="1:3" hidden="1" x14ac:dyDescent="0.25">
      <c r="A1246" t="s">
        <v>392</v>
      </c>
      <c r="B1246">
        <v>5</v>
      </c>
      <c r="C1246" t="str">
        <f>IF(AND(SUMPRODUCT(--ISNUMBER(SEARCH(TRIM(Keywords!$A$2:$A$16),A1246)))&gt;0,
        SUMPRODUCT(--ISNUMBER(SEARCH(TRIM(Keywords!$B$2:$B$14),A1246)))&gt;0),"Neutral",
IF(SUMPRODUCT(--ISNUMBER(SEARCH(TRIM(Keywords!$A$2:$A$16),A1246)))&gt;0,"Positive",
IF(SUMPRODUCT(--ISNUMBER(SEARCH(TRIM(Keywords!$A$2:$B$14),A1246)))&gt;0,"Negative","Neutral")))</f>
        <v>Positive</v>
      </c>
    </row>
    <row r="1247" spans="1:3" hidden="1" x14ac:dyDescent="0.25">
      <c r="A1247" t="s">
        <v>2</v>
      </c>
      <c r="B1247">
        <v>5</v>
      </c>
      <c r="C1247" t="str">
        <f>IF(AND(SUMPRODUCT(--ISNUMBER(SEARCH(TRIM(Keywords!$A$2:$A$16),A1247)))&gt;0,
        SUMPRODUCT(--ISNUMBER(SEARCH(TRIM(Keywords!$B$2:$B$14),A1247)))&gt;0),"Neutral",
IF(SUMPRODUCT(--ISNUMBER(SEARCH(TRIM(Keywords!$A$2:$A$16),A1247)))&gt;0,"Positive",
IF(SUMPRODUCT(--ISNUMBER(SEARCH(TRIM(Keywords!$A$2:$B$14),A1247)))&gt;0,"Negative","Neutral")))</f>
        <v>Positive</v>
      </c>
    </row>
    <row r="1248" spans="1:3" hidden="1" x14ac:dyDescent="0.25">
      <c r="A1248" t="s">
        <v>50</v>
      </c>
      <c r="B1248">
        <v>4</v>
      </c>
      <c r="C1248" t="str">
        <f>IF(AND(SUMPRODUCT(--ISNUMBER(SEARCH(TRIM(Keywords!$A$2:$A$16),A1248)))&gt;0,
        SUMPRODUCT(--ISNUMBER(SEARCH(TRIM(Keywords!$B$2:$B$14),A1248)))&gt;0),"Neutral",
IF(SUMPRODUCT(--ISNUMBER(SEARCH(TRIM(Keywords!$A$2:$A$16),A1248)))&gt;0,"Positive",
IF(SUMPRODUCT(--ISNUMBER(SEARCH(TRIM(Keywords!$A$2:$B$14),A1248)))&gt;0,"Negative","Neutral")))</f>
        <v>Positive</v>
      </c>
    </row>
    <row r="1249" spans="1:3" x14ac:dyDescent="0.25">
      <c r="A1249" t="s">
        <v>36</v>
      </c>
      <c r="B1249">
        <v>3</v>
      </c>
      <c r="C1249" t="str">
        <f>IF(AND(SUMPRODUCT(--ISNUMBER(SEARCH(TRIM(Keywords!$A$2:$A$16),A1249)))&gt;0,
        SUMPRODUCT(--ISNUMBER(SEARCH(TRIM(Keywords!$B$2:$B$14),A1249)))&gt;0),"Neutral",
IF(SUMPRODUCT(--ISNUMBER(SEARCH(TRIM(Keywords!$A$2:$A$16),A1249)))&gt;0,"Positive",
IF(SUMPRODUCT(--ISNUMBER(SEARCH(TRIM(Keywords!$A$2:$B$14),A1249)))&gt;0,"Negative","Neutral")))</f>
        <v>Neutral</v>
      </c>
    </row>
    <row r="1250" spans="1:3" hidden="1" x14ac:dyDescent="0.25">
      <c r="A1250" t="s">
        <v>2</v>
      </c>
      <c r="B1250">
        <v>5</v>
      </c>
      <c r="C1250" t="str">
        <f>IF(AND(SUMPRODUCT(--ISNUMBER(SEARCH(TRIM(Keywords!$A$2:$A$16),A1250)))&gt;0,
        SUMPRODUCT(--ISNUMBER(SEARCH(TRIM(Keywords!$B$2:$B$14),A1250)))&gt;0),"Neutral",
IF(SUMPRODUCT(--ISNUMBER(SEARCH(TRIM(Keywords!$A$2:$A$16),A1250)))&gt;0,"Positive",
IF(SUMPRODUCT(--ISNUMBER(SEARCH(TRIM(Keywords!$A$2:$B$14),A1250)))&gt;0,"Negative","Neutral")))</f>
        <v>Positive</v>
      </c>
    </row>
    <row r="1251" spans="1:3" hidden="1" x14ac:dyDescent="0.25">
      <c r="A1251" t="s">
        <v>2</v>
      </c>
      <c r="B1251">
        <v>5</v>
      </c>
      <c r="C1251" t="str">
        <f>IF(AND(SUMPRODUCT(--ISNUMBER(SEARCH(TRIM(Keywords!$A$2:$A$16),A1251)))&gt;0,
        SUMPRODUCT(--ISNUMBER(SEARCH(TRIM(Keywords!$B$2:$B$14),A1251)))&gt;0),"Neutral",
IF(SUMPRODUCT(--ISNUMBER(SEARCH(TRIM(Keywords!$A$2:$A$16),A1251)))&gt;0,"Positive",
IF(SUMPRODUCT(--ISNUMBER(SEARCH(TRIM(Keywords!$A$2:$B$14),A1251)))&gt;0,"Negative","Neutral")))</f>
        <v>Positive</v>
      </c>
    </row>
    <row r="1252" spans="1:3" hidden="1" x14ac:dyDescent="0.25">
      <c r="A1252" t="s">
        <v>643</v>
      </c>
      <c r="B1252">
        <v>1</v>
      </c>
      <c r="C1252" t="str">
        <f>IF(AND(SUMPRODUCT(--ISNUMBER(SEARCH(TRIM(Keywords!$A$2:$A$16),A1252)))&gt;0,
        SUMPRODUCT(--ISNUMBER(SEARCH(TRIM(Keywords!$B$2:$B$14),A1252)))&gt;0),"Neutral",
IF(SUMPRODUCT(--ISNUMBER(SEARCH(TRIM(Keywords!$A$2:$A$16),A1252)))&gt;0,"Positive",
IF(SUMPRODUCT(--ISNUMBER(SEARCH(TRIM(Keywords!$A$2:$B$14),A1252)))&gt;0,"Negative","Neutral")))</f>
        <v>Negative</v>
      </c>
    </row>
    <row r="1253" spans="1:3" hidden="1" x14ac:dyDescent="0.25">
      <c r="A1253" t="s">
        <v>644</v>
      </c>
      <c r="B1253">
        <v>5</v>
      </c>
      <c r="C1253" t="str">
        <f>IF(AND(SUMPRODUCT(--ISNUMBER(SEARCH(TRIM(Keywords!$A$2:$A$16),A1253)))&gt;0,
        SUMPRODUCT(--ISNUMBER(SEARCH(TRIM(Keywords!$B$2:$B$14),A1253)))&gt;0),"Neutral",
IF(SUMPRODUCT(--ISNUMBER(SEARCH(TRIM(Keywords!$A$2:$A$16),A1253)))&gt;0,"Positive",
IF(SUMPRODUCT(--ISNUMBER(SEARCH(TRIM(Keywords!$A$2:$B$14),A1253)))&gt;0,"Negative","Neutral")))</f>
        <v>Positive</v>
      </c>
    </row>
    <row r="1254" spans="1:3" x14ac:dyDescent="0.25">
      <c r="A1254" t="s">
        <v>34</v>
      </c>
      <c r="B1254">
        <v>3</v>
      </c>
      <c r="C1254" t="str">
        <f>IF(AND(SUMPRODUCT(--ISNUMBER(SEARCH(TRIM(Keywords!$A$2:$A$16),A1254)))&gt;0,
        SUMPRODUCT(--ISNUMBER(SEARCH(TRIM(Keywords!$B$2:$B$14),A1254)))&gt;0),"Neutral",
IF(SUMPRODUCT(--ISNUMBER(SEARCH(TRIM(Keywords!$A$2:$A$16),A1254)))&gt;0,"Positive",
IF(SUMPRODUCT(--ISNUMBER(SEARCH(TRIM(Keywords!$A$2:$B$14),A1254)))&gt;0,"Negative","Neutral")))</f>
        <v>Neutral</v>
      </c>
    </row>
    <row r="1255" spans="1:3" x14ac:dyDescent="0.25">
      <c r="A1255" t="s">
        <v>645</v>
      </c>
      <c r="B1255">
        <v>5</v>
      </c>
      <c r="C1255" t="str">
        <f>IF(AND(SUMPRODUCT(--ISNUMBER(SEARCH(TRIM(Keywords!$A$2:$A$16),A1255)))&gt;0,
        SUMPRODUCT(--ISNUMBER(SEARCH(TRIM(Keywords!$B$2:$B$14),A1255)))&gt;0),"Neutral",
IF(SUMPRODUCT(--ISNUMBER(SEARCH(TRIM(Keywords!$A$2:$A$16),A1255)))&gt;0,"Positive",
IF(SUMPRODUCT(--ISNUMBER(SEARCH(TRIM(Keywords!$A$2:$B$14),A1255)))&gt;0,"Negative","Neutral")))</f>
        <v>Neutral</v>
      </c>
    </row>
    <row r="1256" spans="1:3" x14ac:dyDescent="0.25">
      <c r="A1256" t="s">
        <v>646</v>
      </c>
      <c r="B1256">
        <v>5</v>
      </c>
      <c r="C1256" t="str">
        <f>IF(AND(SUMPRODUCT(--ISNUMBER(SEARCH(TRIM(Keywords!$A$2:$A$16),A1256)))&gt;0,
        SUMPRODUCT(--ISNUMBER(SEARCH(TRIM(Keywords!$B$2:$B$14),A1256)))&gt;0),"Neutral",
IF(SUMPRODUCT(--ISNUMBER(SEARCH(TRIM(Keywords!$A$2:$A$16),A1256)))&gt;0,"Positive",
IF(SUMPRODUCT(--ISNUMBER(SEARCH(TRIM(Keywords!$A$2:$B$14),A1256)))&gt;0,"Negative","Neutral")))</f>
        <v>Neutral</v>
      </c>
    </row>
    <row r="1257" spans="1:3" hidden="1" x14ac:dyDescent="0.25">
      <c r="A1257" t="s">
        <v>37</v>
      </c>
      <c r="B1257">
        <v>2</v>
      </c>
      <c r="C1257" t="str">
        <f>IF(AND(SUMPRODUCT(--ISNUMBER(SEARCH(TRIM(Keywords!$A$2:$A$16),A1257)))&gt;0,
        SUMPRODUCT(--ISNUMBER(SEARCH(TRIM(Keywords!$B$2:$B$14),A1257)))&gt;0),"Neutral",
IF(SUMPRODUCT(--ISNUMBER(SEARCH(TRIM(Keywords!$A$2:$A$16),A1257)))&gt;0,"Positive",
IF(SUMPRODUCT(--ISNUMBER(SEARCH(TRIM(Keywords!$A$2:$B$14),A1257)))&gt;0,"Negative","Neutral")))</f>
        <v>Positive</v>
      </c>
    </row>
    <row r="1258" spans="1:3" hidden="1" x14ac:dyDescent="0.25">
      <c r="A1258" t="s">
        <v>37</v>
      </c>
      <c r="B1258">
        <v>5</v>
      </c>
      <c r="C1258" t="str">
        <f>IF(AND(SUMPRODUCT(--ISNUMBER(SEARCH(TRIM(Keywords!$A$2:$A$16),A1258)))&gt;0,
        SUMPRODUCT(--ISNUMBER(SEARCH(TRIM(Keywords!$B$2:$B$14),A1258)))&gt;0),"Neutral",
IF(SUMPRODUCT(--ISNUMBER(SEARCH(TRIM(Keywords!$A$2:$A$16),A1258)))&gt;0,"Positive",
IF(SUMPRODUCT(--ISNUMBER(SEARCH(TRIM(Keywords!$A$2:$B$14),A1258)))&gt;0,"Negative","Neutral")))</f>
        <v>Positive</v>
      </c>
    </row>
    <row r="1259" spans="1:3" hidden="1" x14ac:dyDescent="0.25">
      <c r="A1259" t="s">
        <v>2</v>
      </c>
      <c r="B1259">
        <v>5</v>
      </c>
      <c r="C1259" t="str">
        <f>IF(AND(SUMPRODUCT(--ISNUMBER(SEARCH(TRIM(Keywords!$A$2:$A$16),A1259)))&gt;0,
        SUMPRODUCT(--ISNUMBER(SEARCH(TRIM(Keywords!$B$2:$B$14),A1259)))&gt;0),"Neutral",
IF(SUMPRODUCT(--ISNUMBER(SEARCH(TRIM(Keywords!$A$2:$A$16),A1259)))&gt;0,"Positive",
IF(SUMPRODUCT(--ISNUMBER(SEARCH(TRIM(Keywords!$A$2:$B$14),A1259)))&gt;0,"Negative","Neutral")))</f>
        <v>Positive</v>
      </c>
    </row>
    <row r="1260" spans="1:3" hidden="1" x14ac:dyDescent="0.25">
      <c r="A1260" t="s">
        <v>647</v>
      </c>
      <c r="B1260">
        <v>5</v>
      </c>
      <c r="C1260" t="str">
        <f>IF(AND(SUMPRODUCT(--ISNUMBER(SEARCH(TRIM(Keywords!$A$2:$A$16),A1260)))&gt;0,
        SUMPRODUCT(--ISNUMBER(SEARCH(TRIM(Keywords!$B$2:$B$14),A1260)))&gt;0),"Neutral",
IF(SUMPRODUCT(--ISNUMBER(SEARCH(TRIM(Keywords!$A$2:$A$16),A1260)))&gt;0,"Positive",
IF(SUMPRODUCT(--ISNUMBER(SEARCH(TRIM(Keywords!$A$2:$B$14),A1260)))&gt;0,"Negative","Neutral")))</f>
        <v>Positive</v>
      </c>
    </row>
    <row r="1261" spans="1:3" hidden="1" x14ac:dyDescent="0.25">
      <c r="A1261" t="s">
        <v>2</v>
      </c>
      <c r="B1261">
        <v>5</v>
      </c>
      <c r="C1261" t="str">
        <f>IF(AND(SUMPRODUCT(--ISNUMBER(SEARCH(TRIM(Keywords!$A$2:$A$16),A1261)))&gt;0,
        SUMPRODUCT(--ISNUMBER(SEARCH(TRIM(Keywords!$B$2:$B$14),A1261)))&gt;0),"Neutral",
IF(SUMPRODUCT(--ISNUMBER(SEARCH(TRIM(Keywords!$A$2:$A$16),A1261)))&gt;0,"Positive",
IF(SUMPRODUCT(--ISNUMBER(SEARCH(TRIM(Keywords!$A$2:$B$14),A1261)))&gt;0,"Negative","Neutral")))</f>
        <v>Positive</v>
      </c>
    </row>
    <row r="1262" spans="1:3" hidden="1" x14ac:dyDescent="0.25">
      <c r="A1262" t="s">
        <v>53</v>
      </c>
      <c r="B1262">
        <v>5</v>
      </c>
      <c r="C1262" t="str">
        <f>IF(AND(SUMPRODUCT(--ISNUMBER(SEARCH(TRIM(Keywords!$A$2:$A$16),A1262)))&gt;0,
        SUMPRODUCT(--ISNUMBER(SEARCH(TRIM(Keywords!$B$2:$B$14),A1262)))&gt;0),"Neutral",
IF(SUMPRODUCT(--ISNUMBER(SEARCH(TRIM(Keywords!$A$2:$A$16),A1262)))&gt;0,"Positive",
IF(SUMPRODUCT(--ISNUMBER(SEARCH(TRIM(Keywords!$A$2:$B$14),A1262)))&gt;0,"Negative","Neutral")))</f>
        <v>Positive</v>
      </c>
    </row>
    <row r="1263" spans="1:3" hidden="1" x14ac:dyDescent="0.25">
      <c r="A1263" t="s">
        <v>648</v>
      </c>
      <c r="B1263">
        <v>5</v>
      </c>
      <c r="C1263" t="str">
        <f>IF(AND(SUMPRODUCT(--ISNUMBER(SEARCH(TRIM(Keywords!$A$2:$A$16),A1263)))&gt;0,
        SUMPRODUCT(--ISNUMBER(SEARCH(TRIM(Keywords!$B$2:$B$14),A1263)))&gt;0),"Neutral",
IF(SUMPRODUCT(--ISNUMBER(SEARCH(TRIM(Keywords!$A$2:$A$16),A1263)))&gt;0,"Positive",
IF(SUMPRODUCT(--ISNUMBER(SEARCH(TRIM(Keywords!$A$2:$B$14),A1263)))&gt;0,"Negative","Neutral")))</f>
        <v>Negative</v>
      </c>
    </row>
    <row r="1264" spans="1:3" hidden="1" x14ac:dyDescent="0.25">
      <c r="A1264" t="s">
        <v>2</v>
      </c>
      <c r="B1264">
        <v>5</v>
      </c>
      <c r="C1264" t="str">
        <f>IF(AND(SUMPRODUCT(--ISNUMBER(SEARCH(TRIM(Keywords!$A$2:$A$16),A1264)))&gt;0,
        SUMPRODUCT(--ISNUMBER(SEARCH(TRIM(Keywords!$B$2:$B$14),A1264)))&gt;0),"Neutral",
IF(SUMPRODUCT(--ISNUMBER(SEARCH(TRIM(Keywords!$A$2:$A$16),A1264)))&gt;0,"Positive",
IF(SUMPRODUCT(--ISNUMBER(SEARCH(TRIM(Keywords!$A$2:$B$14),A1264)))&gt;0,"Negative","Neutral")))</f>
        <v>Positive</v>
      </c>
    </row>
    <row r="1265" spans="1:3" hidden="1" x14ac:dyDescent="0.25">
      <c r="A1265" t="s">
        <v>649</v>
      </c>
      <c r="B1265">
        <v>5</v>
      </c>
      <c r="C1265" t="str">
        <f>IF(AND(SUMPRODUCT(--ISNUMBER(SEARCH(TRIM(Keywords!$A$2:$A$16),A1265)))&gt;0,
        SUMPRODUCT(--ISNUMBER(SEARCH(TRIM(Keywords!$B$2:$B$14),A1265)))&gt;0),"Neutral",
IF(SUMPRODUCT(--ISNUMBER(SEARCH(TRIM(Keywords!$A$2:$A$16),A1265)))&gt;0,"Positive",
IF(SUMPRODUCT(--ISNUMBER(SEARCH(TRIM(Keywords!$A$2:$B$14),A1265)))&gt;0,"Negative","Neutral")))</f>
        <v>Positive</v>
      </c>
    </row>
    <row r="1266" spans="1:3" hidden="1" x14ac:dyDescent="0.25">
      <c r="A1266" t="s">
        <v>650</v>
      </c>
      <c r="B1266">
        <v>2</v>
      </c>
      <c r="C1266" t="str">
        <f>IF(AND(SUMPRODUCT(--ISNUMBER(SEARCH(TRIM(Keywords!$A$2:$A$16),A1266)))&gt;0,
        SUMPRODUCT(--ISNUMBER(SEARCH(TRIM(Keywords!$B$2:$B$14),A1266)))&gt;0),"Neutral",
IF(SUMPRODUCT(--ISNUMBER(SEARCH(TRIM(Keywords!$A$2:$A$16),A1266)))&gt;0,"Positive",
IF(SUMPRODUCT(--ISNUMBER(SEARCH(TRIM(Keywords!$A$2:$B$14),A1266)))&gt;0,"Negative","Neutral")))</f>
        <v>Negative</v>
      </c>
    </row>
    <row r="1267" spans="1:3" x14ac:dyDescent="0.25">
      <c r="A1267" t="s">
        <v>651</v>
      </c>
      <c r="B1267">
        <v>1</v>
      </c>
      <c r="C1267" t="str">
        <f>IF(AND(SUMPRODUCT(--ISNUMBER(SEARCH(TRIM(Keywords!$A$2:$A$16),A1267)))&gt;0,
        SUMPRODUCT(--ISNUMBER(SEARCH(TRIM(Keywords!$B$2:$B$14),A1267)))&gt;0),"Neutral",
IF(SUMPRODUCT(--ISNUMBER(SEARCH(TRIM(Keywords!$A$2:$A$16),A1267)))&gt;0,"Positive",
IF(SUMPRODUCT(--ISNUMBER(SEARCH(TRIM(Keywords!$A$2:$B$14),A1267)))&gt;0,"Negative","Neutral")))</f>
        <v>Neutral</v>
      </c>
    </row>
    <row r="1268" spans="1:3" x14ac:dyDescent="0.25">
      <c r="A1268" t="s">
        <v>652</v>
      </c>
      <c r="B1268">
        <v>2</v>
      </c>
      <c r="C1268" t="str">
        <f>IF(AND(SUMPRODUCT(--ISNUMBER(SEARCH(TRIM(Keywords!$A$2:$A$16),A1268)))&gt;0,
        SUMPRODUCT(--ISNUMBER(SEARCH(TRIM(Keywords!$B$2:$B$14),A1268)))&gt;0),"Neutral",
IF(SUMPRODUCT(--ISNUMBER(SEARCH(TRIM(Keywords!$A$2:$A$16),A1268)))&gt;0,"Positive",
IF(SUMPRODUCT(--ISNUMBER(SEARCH(TRIM(Keywords!$A$2:$B$14),A1268)))&gt;0,"Negative","Neutral")))</f>
        <v>Neutral</v>
      </c>
    </row>
    <row r="1269" spans="1:3" hidden="1" x14ac:dyDescent="0.25">
      <c r="A1269" t="s">
        <v>2</v>
      </c>
      <c r="B1269">
        <v>5</v>
      </c>
      <c r="C1269" t="str">
        <f>IF(AND(SUMPRODUCT(--ISNUMBER(SEARCH(TRIM(Keywords!$A$2:$A$16),A1269)))&gt;0,
        SUMPRODUCT(--ISNUMBER(SEARCH(TRIM(Keywords!$B$2:$B$14),A1269)))&gt;0),"Neutral",
IF(SUMPRODUCT(--ISNUMBER(SEARCH(TRIM(Keywords!$A$2:$A$16),A1269)))&gt;0,"Positive",
IF(SUMPRODUCT(--ISNUMBER(SEARCH(TRIM(Keywords!$A$2:$B$14),A1269)))&gt;0,"Negative","Neutral")))</f>
        <v>Positive</v>
      </c>
    </row>
    <row r="1270" spans="1:3" hidden="1" x14ac:dyDescent="0.25">
      <c r="A1270" t="s">
        <v>653</v>
      </c>
      <c r="B1270">
        <v>5</v>
      </c>
      <c r="C1270" t="str">
        <f>IF(AND(SUMPRODUCT(--ISNUMBER(SEARCH(TRIM(Keywords!$A$2:$A$16),A1270)))&gt;0,
        SUMPRODUCT(--ISNUMBER(SEARCH(TRIM(Keywords!$B$2:$B$14),A1270)))&gt;0),"Neutral",
IF(SUMPRODUCT(--ISNUMBER(SEARCH(TRIM(Keywords!$A$2:$A$16),A1270)))&gt;0,"Positive",
IF(SUMPRODUCT(--ISNUMBER(SEARCH(TRIM(Keywords!$A$2:$B$14),A1270)))&gt;0,"Negative","Neutral")))</f>
        <v>Positive</v>
      </c>
    </row>
    <row r="1271" spans="1:3" hidden="1" x14ac:dyDescent="0.25">
      <c r="A1271" t="s">
        <v>2</v>
      </c>
      <c r="B1271">
        <v>5</v>
      </c>
      <c r="C1271" t="str">
        <f>IF(AND(SUMPRODUCT(--ISNUMBER(SEARCH(TRIM(Keywords!$A$2:$A$16),A1271)))&gt;0,
        SUMPRODUCT(--ISNUMBER(SEARCH(TRIM(Keywords!$B$2:$B$14),A1271)))&gt;0),"Neutral",
IF(SUMPRODUCT(--ISNUMBER(SEARCH(TRIM(Keywords!$A$2:$A$16),A1271)))&gt;0,"Positive",
IF(SUMPRODUCT(--ISNUMBER(SEARCH(TRIM(Keywords!$A$2:$B$14),A1271)))&gt;0,"Negative","Neutral")))</f>
        <v>Positive</v>
      </c>
    </row>
    <row r="1272" spans="1:3" x14ac:dyDescent="0.25">
      <c r="A1272" t="s">
        <v>36</v>
      </c>
      <c r="B1272">
        <v>5</v>
      </c>
      <c r="C1272" t="str">
        <f>IF(AND(SUMPRODUCT(--ISNUMBER(SEARCH(TRIM(Keywords!$A$2:$A$16),A1272)))&gt;0,
        SUMPRODUCT(--ISNUMBER(SEARCH(TRIM(Keywords!$B$2:$B$14),A1272)))&gt;0),"Neutral",
IF(SUMPRODUCT(--ISNUMBER(SEARCH(TRIM(Keywords!$A$2:$A$16),A1272)))&gt;0,"Positive",
IF(SUMPRODUCT(--ISNUMBER(SEARCH(TRIM(Keywords!$A$2:$B$14),A1272)))&gt;0,"Negative","Neutral")))</f>
        <v>Neutral</v>
      </c>
    </row>
    <row r="1273" spans="1:3" x14ac:dyDescent="0.25">
      <c r="A1273" t="s">
        <v>36</v>
      </c>
      <c r="B1273">
        <v>5</v>
      </c>
      <c r="C1273" t="str">
        <f>IF(AND(SUMPRODUCT(--ISNUMBER(SEARCH(TRIM(Keywords!$A$2:$A$16),A1273)))&gt;0,
        SUMPRODUCT(--ISNUMBER(SEARCH(TRIM(Keywords!$B$2:$B$14),A1273)))&gt;0),"Neutral",
IF(SUMPRODUCT(--ISNUMBER(SEARCH(TRIM(Keywords!$A$2:$A$16),A1273)))&gt;0,"Positive",
IF(SUMPRODUCT(--ISNUMBER(SEARCH(TRIM(Keywords!$A$2:$B$14),A1273)))&gt;0,"Negative","Neutral")))</f>
        <v>Neutral</v>
      </c>
    </row>
    <row r="1274" spans="1:3" hidden="1" x14ac:dyDescent="0.25">
      <c r="A1274" t="s">
        <v>2</v>
      </c>
      <c r="B1274">
        <v>5</v>
      </c>
      <c r="C1274" t="str">
        <f>IF(AND(SUMPRODUCT(--ISNUMBER(SEARCH(TRIM(Keywords!$A$2:$A$16),A1274)))&gt;0,
        SUMPRODUCT(--ISNUMBER(SEARCH(TRIM(Keywords!$B$2:$B$14),A1274)))&gt;0),"Neutral",
IF(SUMPRODUCT(--ISNUMBER(SEARCH(TRIM(Keywords!$A$2:$A$16),A1274)))&gt;0,"Positive",
IF(SUMPRODUCT(--ISNUMBER(SEARCH(TRIM(Keywords!$A$2:$B$14),A1274)))&gt;0,"Negative","Neutral")))</f>
        <v>Positive</v>
      </c>
    </row>
    <row r="1275" spans="1:3" hidden="1" x14ac:dyDescent="0.25">
      <c r="A1275" t="s">
        <v>654</v>
      </c>
      <c r="B1275">
        <v>5</v>
      </c>
      <c r="C1275" t="str">
        <f>IF(AND(SUMPRODUCT(--ISNUMBER(SEARCH(TRIM(Keywords!$A$2:$A$16),A1275)))&gt;0,
        SUMPRODUCT(--ISNUMBER(SEARCH(TRIM(Keywords!$B$2:$B$14),A1275)))&gt;0),"Neutral",
IF(SUMPRODUCT(--ISNUMBER(SEARCH(TRIM(Keywords!$A$2:$A$16),A1275)))&gt;0,"Positive",
IF(SUMPRODUCT(--ISNUMBER(SEARCH(TRIM(Keywords!$A$2:$B$14),A1275)))&gt;0,"Negative","Neutral")))</f>
        <v>Positive</v>
      </c>
    </row>
    <row r="1276" spans="1:3" x14ac:dyDescent="0.25">
      <c r="A1276" t="s">
        <v>655</v>
      </c>
      <c r="B1276">
        <v>5</v>
      </c>
      <c r="C1276" t="str">
        <f>IF(AND(SUMPRODUCT(--ISNUMBER(SEARCH(TRIM(Keywords!$A$2:$A$16),A1276)))&gt;0,
        SUMPRODUCT(--ISNUMBER(SEARCH(TRIM(Keywords!$B$2:$B$14),A1276)))&gt;0),"Neutral",
IF(SUMPRODUCT(--ISNUMBER(SEARCH(TRIM(Keywords!$A$2:$A$16),A1276)))&gt;0,"Positive",
IF(SUMPRODUCT(--ISNUMBER(SEARCH(TRIM(Keywords!$A$2:$B$14),A1276)))&gt;0,"Negative","Neutral")))</f>
        <v>Neutral</v>
      </c>
    </row>
    <row r="1277" spans="1:3" x14ac:dyDescent="0.25">
      <c r="A1277" t="s">
        <v>656</v>
      </c>
      <c r="B1277">
        <v>1</v>
      </c>
      <c r="C1277" t="str">
        <f>IF(AND(SUMPRODUCT(--ISNUMBER(SEARCH(TRIM(Keywords!$A$2:$A$16),A1277)))&gt;0,
        SUMPRODUCT(--ISNUMBER(SEARCH(TRIM(Keywords!$B$2:$B$14),A1277)))&gt;0),"Neutral",
IF(SUMPRODUCT(--ISNUMBER(SEARCH(TRIM(Keywords!$A$2:$A$16),A1277)))&gt;0,"Positive",
IF(SUMPRODUCT(--ISNUMBER(SEARCH(TRIM(Keywords!$A$2:$B$14),A1277)))&gt;0,"Negative","Neutral")))</f>
        <v>Neutral</v>
      </c>
    </row>
    <row r="1278" spans="1:3" hidden="1" x14ac:dyDescent="0.25">
      <c r="A1278" t="s">
        <v>657</v>
      </c>
      <c r="B1278">
        <v>5</v>
      </c>
      <c r="C1278" t="str">
        <f>IF(AND(SUMPRODUCT(--ISNUMBER(SEARCH(TRIM(Keywords!$A$2:$A$16),A1278)))&gt;0,
        SUMPRODUCT(--ISNUMBER(SEARCH(TRIM(Keywords!$B$2:$B$14),A1278)))&gt;0),"Neutral",
IF(SUMPRODUCT(--ISNUMBER(SEARCH(TRIM(Keywords!$A$2:$A$16),A1278)))&gt;0,"Positive",
IF(SUMPRODUCT(--ISNUMBER(SEARCH(TRIM(Keywords!$A$2:$B$14),A1278)))&gt;0,"Negative","Neutral")))</f>
        <v>Positive</v>
      </c>
    </row>
    <row r="1279" spans="1:3" hidden="1" x14ac:dyDescent="0.25">
      <c r="A1279" t="s">
        <v>37</v>
      </c>
      <c r="B1279">
        <v>4</v>
      </c>
      <c r="C1279" t="str">
        <f>IF(AND(SUMPRODUCT(--ISNUMBER(SEARCH(TRIM(Keywords!$A$2:$A$16),A1279)))&gt;0,
        SUMPRODUCT(--ISNUMBER(SEARCH(TRIM(Keywords!$B$2:$B$14),A1279)))&gt;0),"Neutral",
IF(SUMPRODUCT(--ISNUMBER(SEARCH(TRIM(Keywords!$A$2:$A$16),A1279)))&gt;0,"Positive",
IF(SUMPRODUCT(--ISNUMBER(SEARCH(TRIM(Keywords!$A$2:$B$14),A1279)))&gt;0,"Negative","Neutral")))</f>
        <v>Positive</v>
      </c>
    </row>
    <row r="1280" spans="1:3" hidden="1" x14ac:dyDescent="0.25">
      <c r="A1280" t="s">
        <v>37</v>
      </c>
      <c r="B1280">
        <v>5</v>
      </c>
      <c r="C1280" t="str">
        <f>IF(AND(SUMPRODUCT(--ISNUMBER(SEARCH(TRIM(Keywords!$A$2:$A$16),A1280)))&gt;0,
        SUMPRODUCT(--ISNUMBER(SEARCH(TRIM(Keywords!$B$2:$B$14),A1280)))&gt;0),"Neutral",
IF(SUMPRODUCT(--ISNUMBER(SEARCH(TRIM(Keywords!$A$2:$A$16),A1280)))&gt;0,"Positive",
IF(SUMPRODUCT(--ISNUMBER(SEARCH(TRIM(Keywords!$A$2:$B$14),A1280)))&gt;0,"Negative","Neutral")))</f>
        <v>Positive</v>
      </c>
    </row>
    <row r="1281" spans="1:3" hidden="1" x14ac:dyDescent="0.25">
      <c r="A1281" t="s">
        <v>658</v>
      </c>
      <c r="B1281">
        <v>5</v>
      </c>
      <c r="C1281" t="str">
        <f>IF(AND(SUMPRODUCT(--ISNUMBER(SEARCH(TRIM(Keywords!$A$2:$A$16),A1281)))&gt;0,
        SUMPRODUCT(--ISNUMBER(SEARCH(TRIM(Keywords!$B$2:$B$14),A1281)))&gt;0),"Neutral",
IF(SUMPRODUCT(--ISNUMBER(SEARCH(TRIM(Keywords!$A$2:$A$16),A1281)))&gt;0,"Positive",
IF(SUMPRODUCT(--ISNUMBER(SEARCH(TRIM(Keywords!$A$2:$B$14),A1281)))&gt;0,"Negative","Neutral")))</f>
        <v>Positive</v>
      </c>
    </row>
    <row r="1282" spans="1:3" x14ac:dyDescent="0.25">
      <c r="A1282" t="s">
        <v>659</v>
      </c>
      <c r="B1282">
        <v>5</v>
      </c>
      <c r="C1282" t="str">
        <f>IF(AND(SUMPRODUCT(--ISNUMBER(SEARCH(TRIM(Keywords!$A$2:$A$16),A1282)))&gt;0,
        SUMPRODUCT(--ISNUMBER(SEARCH(TRIM(Keywords!$B$2:$B$14),A1282)))&gt;0),"Neutral",
IF(SUMPRODUCT(--ISNUMBER(SEARCH(TRIM(Keywords!$A$2:$A$16),A1282)))&gt;0,"Positive",
IF(SUMPRODUCT(--ISNUMBER(SEARCH(TRIM(Keywords!$A$2:$B$14),A1282)))&gt;0,"Negative","Neutral")))</f>
        <v>Neutral</v>
      </c>
    </row>
    <row r="1283" spans="1:3" hidden="1" x14ac:dyDescent="0.25">
      <c r="A1283" t="s">
        <v>660</v>
      </c>
      <c r="B1283">
        <v>5</v>
      </c>
      <c r="C1283" t="str">
        <f>IF(AND(SUMPRODUCT(--ISNUMBER(SEARCH(TRIM(Keywords!$A$2:$A$16),A1283)))&gt;0,
        SUMPRODUCT(--ISNUMBER(SEARCH(TRIM(Keywords!$B$2:$B$14),A1283)))&gt;0),"Neutral",
IF(SUMPRODUCT(--ISNUMBER(SEARCH(TRIM(Keywords!$A$2:$A$16),A1283)))&gt;0,"Positive",
IF(SUMPRODUCT(--ISNUMBER(SEARCH(TRIM(Keywords!$A$2:$B$14),A1283)))&gt;0,"Negative","Neutral")))</f>
        <v>Positive</v>
      </c>
    </row>
    <row r="1284" spans="1:3" x14ac:dyDescent="0.25">
      <c r="A1284" t="s">
        <v>661</v>
      </c>
      <c r="B1284">
        <v>3</v>
      </c>
      <c r="C1284" t="str">
        <f>IF(AND(SUMPRODUCT(--ISNUMBER(SEARCH(TRIM(Keywords!$A$2:$A$16),A1284)))&gt;0,
        SUMPRODUCT(--ISNUMBER(SEARCH(TRIM(Keywords!$B$2:$B$14),A1284)))&gt;0),"Neutral",
IF(SUMPRODUCT(--ISNUMBER(SEARCH(TRIM(Keywords!$A$2:$A$16),A1284)))&gt;0,"Positive",
IF(SUMPRODUCT(--ISNUMBER(SEARCH(TRIM(Keywords!$A$2:$B$14),A1284)))&gt;0,"Negative","Neutral")))</f>
        <v>Neutral</v>
      </c>
    </row>
    <row r="1285" spans="1:3" hidden="1" x14ac:dyDescent="0.25">
      <c r="A1285" t="s">
        <v>2</v>
      </c>
      <c r="B1285">
        <v>5</v>
      </c>
      <c r="C1285" t="str">
        <f>IF(AND(SUMPRODUCT(--ISNUMBER(SEARCH(TRIM(Keywords!$A$2:$A$16),A1285)))&gt;0,
        SUMPRODUCT(--ISNUMBER(SEARCH(TRIM(Keywords!$B$2:$B$14),A1285)))&gt;0),"Neutral",
IF(SUMPRODUCT(--ISNUMBER(SEARCH(TRIM(Keywords!$A$2:$A$16),A1285)))&gt;0,"Positive",
IF(SUMPRODUCT(--ISNUMBER(SEARCH(TRIM(Keywords!$A$2:$B$14),A1285)))&gt;0,"Negative","Neutral")))</f>
        <v>Positive</v>
      </c>
    </row>
    <row r="1286" spans="1:3" x14ac:dyDescent="0.25">
      <c r="A1286" t="s">
        <v>662</v>
      </c>
      <c r="B1286">
        <v>3</v>
      </c>
      <c r="C1286" t="str">
        <f>IF(AND(SUMPRODUCT(--ISNUMBER(SEARCH(TRIM(Keywords!$A$2:$A$16),A1286)))&gt;0,
        SUMPRODUCT(--ISNUMBER(SEARCH(TRIM(Keywords!$B$2:$B$14),A1286)))&gt;0),"Neutral",
IF(SUMPRODUCT(--ISNUMBER(SEARCH(TRIM(Keywords!$A$2:$A$16),A1286)))&gt;0,"Positive",
IF(SUMPRODUCT(--ISNUMBER(SEARCH(TRIM(Keywords!$A$2:$B$14),A1286)))&gt;0,"Negative","Neutral")))</f>
        <v>Neutral</v>
      </c>
    </row>
    <row r="1287" spans="1:3" hidden="1" x14ac:dyDescent="0.25">
      <c r="A1287" t="s">
        <v>663</v>
      </c>
      <c r="B1287">
        <v>5</v>
      </c>
      <c r="C1287" t="str">
        <f>IF(AND(SUMPRODUCT(--ISNUMBER(SEARCH(TRIM(Keywords!$A$2:$A$16),A1287)))&gt;0,
        SUMPRODUCT(--ISNUMBER(SEARCH(TRIM(Keywords!$B$2:$B$14),A1287)))&gt;0),"Neutral",
IF(SUMPRODUCT(--ISNUMBER(SEARCH(TRIM(Keywords!$A$2:$A$16),A1287)))&gt;0,"Positive",
IF(SUMPRODUCT(--ISNUMBER(SEARCH(TRIM(Keywords!$A$2:$B$14),A1287)))&gt;0,"Negative","Neutral")))</f>
        <v>Positive</v>
      </c>
    </row>
    <row r="1288" spans="1:3" x14ac:dyDescent="0.25">
      <c r="A1288" t="s">
        <v>664</v>
      </c>
      <c r="B1288">
        <v>3</v>
      </c>
      <c r="C1288" t="str">
        <f>IF(AND(SUMPRODUCT(--ISNUMBER(SEARCH(TRIM(Keywords!$A$2:$A$16),A1288)))&gt;0,
        SUMPRODUCT(--ISNUMBER(SEARCH(TRIM(Keywords!$B$2:$B$14),A1288)))&gt;0),"Neutral",
IF(SUMPRODUCT(--ISNUMBER(SEARCH(TRIM(Keywords!$A$2:$A$16),A1288)))&gt;0,"Positive",
IF(SUMPRODUCT(--ISNUMBER(SEARCH(TRIM(Keywords!$A$2:$B$14),A1288)))&gt;0,"Negative","Neutral")))</f>
        <v>Neutral</v>
      </c>
    </row>
    <row r="1289" spans="1:3" x14ac:dyDescent="0.25">
      <c r="A1289" t="s">
        <v>469</v>
      </c>
      <c r="B1289">
        <v>5</v>
      </c>
      <c r="C1289" t="str">
        <f>IF(AND(SUMPRODUCT(--ISNUMBER(SEARCH(TRIM(Keywords!$A$2:$A$16),A1289)))&gt;0,
        SUMPRODUCT(--ISNUMBER(SEARCH(TRIM(Keywords!$B$2:$B$14),A1289)))&gt;0),"Neutral",
IF(SUMPRODUCT(--ISNUMBER(SEARCH(TRIM(Keywords!$A$2:$A$16),A1289)))&gt;0,"Positive",
IF(SUMPRODUCT(--ISNUMBER(SEARCH(TRIM(Keywords!$A$2:$B$14),A1289)))&gt;0,"Negative","Neutral")))</f>
        <v>Neutral</v>
      </c>
    </row>
    <row r="1290" spans="1:3" hidden="1" x14ac:dyDescent="0.25">
      <c r="A1290" t="s">
        <v>2</v>
      </c>
      <c r="B1290">
        <v>5</v>
      </c>
      <c r="C1290" t="str">
        <f>IF(AND(SUMPRODUCT(--ISNUMBER(SEARCH(TRIM(Keywords!$A$2:$A$16),A1290)))&gt;0,
        SUMPRODUCT(--ISNUMBER(SEARCH(TRIM(Keywords!$B$2:$B$14),A1290)))&gt;0),"Neutral",
IF(SUMPRODUCT(--ISNUMBER(SEARCH(TRIM(Keywords!$A$2:$A$16),A1290)))&gt;0,"Positive",
IF(SUMPRODUCT(--ISNUMBER(SEARCH(TRIM(Keywords!$A$2:$B$14),A1290)))&gt;0,"Negative","Neutral")))</f>
        <v>Positive</v>
      </c>
    </row>
    <row r="1291" spans="1:3" hidden="1" x14ac:dyDescent="0.25">
      <c r="A1291" t="s">
        <v>37</v>
      </c>
      <c r="B1291">
        <v>5</v>
      </c>
      <c r="C1291" t="str">
        <f>IF(AND(SUMPRODUCT(--ISNUMBER(SEARCH(TRIM(Keywords!$A$2:$A$16),A1291)))&gt;0,
        SUMPRODUCT(--ISNUMBER(SEARCH(TRIM(Keywords!$B$2:$B$14),A1291)))&gt;0),"Neutral",
IF(SUMPRODUCT(--ISNUMBER(SEARCH(TRIM(Keywords!$A$2:$A$16),A1291)))&gt;0,"Positive",
IF(SUMPRODUCT(--ISNUMBER(SEARCH(TRIM(Keywords!$A$2:$B$14),A1291)))&gt;0,"Negative","Neutral")))</f>
        <v>Positive</v>
      </c>
    </row>
    <row r="1292" spans="1:3" hidden="1" x14ac:dyDescent="0.25">
      <c r="A1292" t="s">
        <v>3</v>
      </c>
      <c r="B1292">
        <v>1</v>
      </c>
      <c r="C1292" t="str">
        <f>IF(AND(SUMPRODUCT(--ISNUMBER(SEARCH(TRIM(Keywords!$A$2:$A$16),A1292)))&gt;0,
        SUMPRODUCT(--ISNUMBER(SEARCH(TRIM(Keywords!$B$2:$B$14),A1292)))&gt;0),"Neutral",
IF(SUMPRODUCT(--ISNUMBER(SEARCH(TRIM(Keywords!$A$2:$A$16),A1292)))&gt;0,"Positive",
IF(SUMPRODUCT(--ISNUMBER(SEARCH(TRIM(Keywords!$A$2:$B$14),A1292)))&gt;0,"Negative","Neutral")))</f>
        <v>Negative</v>
      </c>
    </row>
    <row r="1293" spans="1:3" x14ac:dyDescent="0.25">
      <c r="A1293" t="s">
        <v>36</v>
      </c>
      <c r="B1293">
        <v>3</v>
      </c>
      <c r="C1293" t="str">
        <f>IF(AND(SUMPRODUCT(--ISNUMBER(SEARCH(TRIM(Keywords!$A$2:$A$16),A1293)))&gt;0,
        SUMPRODUCT(--ISNUMBER(SEARCH(TRIM(Keywords!$B$2:$B$14),A1293)))&gt;0),"Neutral",
IF(SUMPRODUCT(--ISNUMBER(SEARCH(TRIM(Keywords!$A$2:$A$16),A1293)))&gt;0,"Positive",
IF(SUMPRODUCT(--ISNUMBER(SEARCH(TRIM(Keywords!$A$2:$B$14),A1293)))&gt;0,"Negative","Neutral")))</f>
        <v>Neutral</v>
      </c>
    </row>
    <row r="1294" spans="1:3" hidden="1" x14ac:dyDescent="0.25">
      <c r="A1294" t="s">
        <v>665</v>
      </c>
      <c r="B1294">
        <v>5</v>
      </c>
      <c r="C1294" t="str">
        <f>IF(AND(SUMPRODUCT(--ISNUMBER(SEARCH(TRIM(Keywords!$A$2:$A$16),A1294)))&gt;0,
        SUMPRODUCT(--ISNUMBER(SEARCH(TRIM(Keywords!$B$2:$B$14),A1294)))&gt;0),"Neutral",
IF(SUMPRODUCT(--ISNUMBER(SEARCH(TRIM(Keywords!$A$2:$A$16),A1294)))&gt;0,"Positive",
IF(SUMPRODUCT(--ISNUMBER(SEARCH(TRIM(Keywords!$A$2:$B$14),A1294)))&gt;0,"Negative","Neutral")))</f>
        <v>Positive</v>
      </c>
    </row>
    <row r="1295" spans="1:3" hidden="1" x14ac:dyDescent="0.25">
      <c r="A1295" t="s">
        <v>666</v>
      </c>
      <c r="B1295">
        <v>5</v>
      </c>
      <c r="C1295" t="str">
        <f>IF(AND(SUMPRODUCT(--ISNUMBER(SEARCH(TRIM(Keywords!$A$2:$A$16),A1295)))&gt;0,
        SUMPRODUCT(--ISNUMBER(SEARCH(TRIM(Keywords!$B$2:$B$14),A1295)))&gt;0),"Neutral",
IF(SUMPRODUCT(--ISNUMBER(SEARCH(TRIM(Keywords!$A$2:$A$16),A1295)))&gt;0,"Positive",
IF(SUMPRODUCT(--ISNUMBER(SEARCH(TRIM(Keywords!$A$2:$B$14),A1295)))&gt;0,"Negative","Neutral")))</f>
        <v>Positive</v>
      </c>
    </row>
    <row r="1296" spans="1:3" hidden="1" x14ac:dyDescent="0.25">
      <c r="A1296" t="s">
        <v>2</v>
      </c>
      <c r="B1296">
        <v>5</v>
      </c>
      <c r="C1296" t="str">
        <f>IF(AND(SUMPRODUCT(--ISNUMBER(SEARCH(TRIM(Keywords!$A$2:$A$16),A1296)))&gt;0,
        SUMPRODUCT(--ISNUMBER(SEARCH(TRIM(Keywords!$B$2:$B$14),A1296)))&gt;0),"Neutral",
IF(SUMPRODUCT(--ISNUMBER(SEARCH(TRIM(Keywords!$A$2:$A$16),A1296)))&gt;0,"Positive",
IF(SUMPRODUCT(--ISNUMBER(SEARCH(TRIM(Keywords!$A$2:$B$14),A1296)))&gt;0,"Negative","Neutral")))</f>
        <v>Positive</v>
      </c>
    </row>
    <row r="1297" spans="1:3" x14ac:dyDescent="0.25">
      <c r="A1297" t="s">
        <v>667</v>
      </c>
      <c r="B1297">
        <v>2</v>
      </c>
      <c r="C1297" t="str">
        <f>IF(AND(SUMPRODUCT(--ISNUMBER(SEARCH(TRIM(Keywords!$A$2:$A$16),A1297)))&gt;0,
        SUMPRODUCT(--ISNUMBER(SEARCH(TRIM(Keywords!$B$2:$B$14),A1297)))&gt;0),"Neutral",
IF(SUMPRODUCT(--ISNUMBER(SEARCH(TRIM(Keywords!$A$2:$A$16),A1297)))&gt;0,"Positive",
IF(SUMPRODUCT(--ISNUMBER(SEARCH(TRIM(Keywords!$A$2:$B$14),A1297)))&gt;0,"Negative","Neutral")))</f>
        <v>Neutral</v>
      </c>
    </row>
    <row r="1298" spans="1:3" hidden="1" x14ac:dyDescent="0.25">
      <c r="A1298" t="s">
        <v>2</v>
      </c>
      <c r="B1298">
        <v>4</v>
      </c>
      <c r="C1298" t="str">
        <f>IF(AND(SUMPRODUCT(--ISNUMBER(SEARCH(TRIM(Keywords!$A$2:$A$16),A1298)))&gt;0,
        SUMPRODUCT(--ISNUMBER(SEARCH(TRIM(Keywords!$B$2:$B$14),A1298)))&gt;0),"Neutral",
IF(SUMPRODUCT(--ISNUMBER(SEARCH(TRIM(Keywords!$A$2:$A$16),A1298)))&gt;0,"Positive",
IF(SUMPRODUCT(--ISNUMBER(SEARCH(TRIM(Keywords!$A$2:$B$14),A1298)))&gt;0,"Negative","Neutral")))</f>
        <v>Positive</v>
      </c>
    </row>
    <row r="1299" spans="1:3" hidden="1" x14ac:dyDescent="0.25">
      <c r="A1299" t="s">
        <v>668</v>
      </c>
      <c r="B1299">
        <v>5</v>
      </c>
      <c r="C1299" t="str">
        <f>IF(AND(SUMPRODUCT(--ISNUMBER(SEARCH(TRIM(Keywords!$A$2:$A$16),A1299)))&gt;0,
        SUMPRODUCT(--ISNUMBER(SEARCH(TRIM(Keywords!$B$2:$B$14),A1299)))&gt;0),"Neutral",
IF(SUMPRODUCT(--ISNUMBER(SEARCH(TRIM(Keywords!$A$2:$A$16),A1299)))&gt;0,"Positive",
IF(SUMPRODUCT(--ISNUMBER(SEARCH(TRIM(Keywords!$A$2:$B$14),A1299)))&gt;0,"Negative","Neutral")))</f>
        <v>Positive</v>
      </c>
    </row>
    <row r="1300" spans="1:3" hidden="1" x14ac:dyDescent="0.25">
      <c r="A1300" t="s">
        <v>2</v>
      </c>
      <c r="B1300">
        <v>5</v>
      </c>
      <c r="C1300" t="str">
        <f>IF(AND(SUMPRODUCT(--ISNUMBER(SEARCH(TRIM(Keywords!$A$2:$A$16),A1300)))&gt;0,
        SUMPRODUCT(--ISNUMBER(SEARCH(TRIM(Keywords!$B$2:$B$14),A1300)))&gt;0),"Neutral",
IF(SUMPRODUCT(--ISNUMBER(SEARCH(TRIM(Keywords!$A$2:$A$16),A1300)))&gt;0,"Positive",
IF(SUMPRODUCT(--ISNUMBER(SEARCH(TRIM(Keywords!$A$2:$B$14),A1300)))&gt;0,"Negative","Neutral")))</f>
        <v>Positive</v>
      </c>
    </row>
    <row r="1301" spans="1:3" hidden="1" x14ac:dyDescent="0.25">
      <c r="A1301" t="s">
        <v>2</v>
      </c>
      <c r="B1301">
        <v>5</v>
      </c>
      <c r="C1301" t="str">
        <f>IF(AND(SUMPRODUCT(--ISNUMBER(SEARCH(TRIM(Keywords!$A$2:$A$16),A1301)))&gt;0,
        SUMPRODUCT(--ISNUMBER(SEARCH(TRIM(Keywords!$B$2:$B$14),A1301)))&gt;0),"Neutral",
IF(SUMPRODUCT(--ISNUMBER(SEARCH(TRIM(Keywords!$A$2:$A$16),A1301)))&gt;0,"Positive",
IF(SUMPRODUCT(--ISNUMBER(SEARCH(TRIM(Keywords!$A$2:$B$14),A1301)))&gt;0,"Negative","Neutral")))</f>
        <v>Positive</v>
      </c>
    </row>
    <row r="1302" spans="1:3" hidden="1" x14ac:dyDescent="0.25">
      <c r="A1302" t="s">
        <v>2</v>
      </c>
      <c r="B1302">
        <v>5</v>
      </c>
      <c r="C1302" t="str">
        <f>IF(AND(SUMPRODUCT(--ISNUMBER(SEARCH(TRIM(Keywords!$A$2:$A$16),A1302)))&gt;0,
        SUMPRODUCT(--ISNUMBER(SEARCH(TRIM(Keywords!$B$2:$B$14),A1302)))&gt;0),"Neutral",
IF(SUMPRODUCT(--ISNUMBER(SEARCH(TRIM(Keywords!$A$2:$A$16),A1302)))&gt;0,"Positive",
IF(SUMPRODUCT(--ISNUMBER(SEARCH(TRIM(Keywords!$A$2:$B$14),A1302)))&gt;0,"Negative","Neutral")))</f>
        <v>Positive</v>
      </c>
    </row>
    <row r="1303" spans="1:3" hidden="1" x14ac:dyDescent="0.25">
      <c r="A1303" t="s">
        <v>2</v>
      </c>
      <c r="B1303">
        <v>5</v>
      </c>
      <c r="C1303" t="str">
        <f>IF(AND(SUMPRODUCT(--ISNUMBER(SEARCH(TRIM(Keywords!$A$2:$A$16),A1303)))&gt;0,
        SUMPRODUCT(--ISNUMBER(SEARCH(TRIM(Keywords!$B$2:$B$14),A1303)))&gt;0),"Neutral",
IF(SUMPRODUCT(--ISNUMBER(SEARCH(TRIM(Keywords!$A$2:$A$16),A1303)))&gt;0,"Positive",
IF(SUMPRODUCT(--ISNUMBER(SEARCH(TRIM(Keywords!$A$2:$B$14),A1303)))&gt;0,"Negative","Neutral")))</f>
        <v>Positive</v>
      </c>
    </row>
    <row r="1304" spans="1:3" x14ac:dyDescent="0.25">
      <c r="A1304" t="s">
        <v>646</v>
      </c>
      <c r="B1304">
        <v>5</v>
      </c>
      <c r="C1304" t="str">
        <f>IF(AND(SUMPRODUCT(--ISNUMBER(SEARCH(TRIM(Keywords!$A$2:$A$16),A1304)))&gt;0,
        SUMPRODUCT(--ISNUMBER(SEARCH(TRIM(Keywords!$B$2:$B$14),A1304)))&gt;0),"Neutral",
IF(SUMPRODUCT(--ISNUMBER(SEARCH(TRIM(Keywords!$A$2:$A$16),A1304)))&gt;0,"Positive",
IF(SUMPRODUCT(--ISNUMBER(SEARCH(TRIM(Keywords!$A$2:$B$14),A1304)))&gt;0,"Negative","Neutral")))</f>
        <v>Neutral</v>
      </c>
    </row>
    <row r="1305" spans="1:3" hidden="1" x14ac:dyDescent="0.25">
      <c r="A1305" t="s">
        <v>2</v>
      </c>
      <c r="B1305">
        <v>5</v>
      </c>
      <c r="C1305" t="str">
        <f>IF(AND(SUMPRODUCT(--ISNUMBER(SEARCH(TRIM(Keywords!$A$2:$A$16),A1305)))&gt;0,
        SUMPRODUCT(--ISNUMBER(SEARCH(TRIM(Keywords!$B$2:$B$14),A1305)))&gt;0),"Neutral",
IF(SUMPRODUCT(--ISNUMBER(SEARCH(TRIM(Keywords!$A$2:$A$16),A1305)))&gt;0,"Positive",
IF(SUMPRODUCT(--ISNUMBER(SEARCH(TRIM(Keywords!$A$2:$B$14),A1305)))&gt;0,"Negative","Neutral")))</f>
        <v>Positive</v>
      </c>
    </row>
    <row r="1306" spans="1:3" hidden="1" x14ac:dyDescent="0.25">
      <c r="A1306" t="s">
        <v>2</v>
      </c>
      <c r="B1306">
        <v>4</v>
      </c>
      <c r="C1306" t="str">
        <f>IF(AND(SUMPRODUCT(--ISNUMBER(SEARCH(TRIM(Keywords!$A$2:$A$16),A1306)))&gt;0,
        SUMPRODUCT(--ISNUMBER(SEARCH(TRIM(Keywords!$B$2:$B$14),A1306)))&gt;0),"Neutral",
IF(SUMPRODUCT(--ISNUMBER(SEARCH(TRIM(Keywords!$A$2:$A$16),A1306)))&gt;0,"Positive",
IF(SUMPRODUCT(--ISNUMBER(SEARCH(TRIM(Keywords!$A$2:$B$14),A1306)))&gt;0,"Negative","Neutral")))</f>
        <v>Positive</v>
      </c>
    </row>
    <row r="1307" spans="1:3" hidden="1" x14ac:dyDescent="0.25">
      <c r="A1307" t="s">
        <v>77</v>
      </c>
      <c r="B1307">
        <v>5</v>
      </c>
      <c r="C1307" t="str">
        <f>IF(AND(SUMPRODUCT(--ISNUMBER(SEARCH(TRIM(Keywords!$A$2:$A$16),A1307)))&gt;0,
        SUMPRODUCT(--ISNUMBER(SEARCH(TRIM(Keywords!$B$2:$B$14),A1307)))&gt;0),"Neutral",
IF(SUMPRODUCT(--ISNUMBER(SEARCH(TRIM(Keywords!$A$2:$A$16),A1307)))&gt;0,"Positive",
IF(SUMPRODUCT(--ISNUMBER(SEARCH(TRIM(Keywords!$A$2:$B$14),A1307)))&gt;0,"Negative","Neutral")))</f>
        <v>Positive</v>
      </c>
    </row>
    <row r="1308" spans="1:3" hidden="1" x14ac:dyDescent="0.25">
      <c r="A1308" t="s">
        <v>2</v>
      </c>
      <c r="B1308">
        <v>5</v>
      </c>
      <c r="C1308" t="str">
        <f>IF(AND(SUMPRODUCT(--ISNUMBER(SEARCH(TRIM(Keywords!$A$2:$A$16),A1308)))&gt;0,
        SUMPRODUCT(--ISNUMBER(SEARCH(TRIM(Keywords!$B$2:$B$14),A1308)))&gt;0),"Neutral",
IF(SUMPRODUCT(--ISNUMBER(SEARCH(TRIM(Keywords!$A$2:$A$16),A1308)))&gt;0,"Positive",
IF(SUMPRODUCT(--ISNUMBER(SEARCH(TRIM(Keywords!$A$2:$B$14),A1308)))&gt;0,"Negative","Neutral")))</f>
        <v>Positive</v>
      </c>
    </row>
    <row r="1309" spans="1:3" x14ac:dyDescent="0.25">
      <c r="A1309" t="s">
        <v>34</v>
      </c>
      <c r="B1309">
        <v>3</v>
      </c>
      <c r="C1309" t="str">
        <f>IF(AND(SUMPRODUCT(--ISNUMBER(SEARCH(TRIM(Keywords!$A$2:$A$16),A1309)))&gt;0,
        SUMPRODUCT(--ISNUMBER(SEARCH(TRIM(Keywords!$B$2:$B$14),A1309)))&gt;0),"Neutral",
IF(SUMPRODUCT(--ISNUMBER(SEARCH(TRIM(Keywords!$A$2:$A$16),A1309)))&gt;0,"Positive",
IF(SUMPRODUCT(--ISNUMBER(SEARCH(TRIM(Keywords!$A$2:$B$14),A1309)))&gt;0,"Negative","Neutral")))</f>
        <v>Neutral</v>
      </c>
    </row>
    <row r="1310" spans="1:3" x14ac:dyDescent="0.25">
      <c r="A1310" t="s">
        <v>669</v>
      </c>
      <c r="B1310">
        <v>5</v>
      </c>
      <c r="C1310" t="str">
        <f>IF(AND(SUMPRODUCT(--ISNUMBER(SEARCH(TRIM(Keywords!$A$2:$A$16),A1310)))&gt;0,
        SUMPRODUCT(--ISNUMBER(SEARCH(TRIM(Keywords!$B$2:$B$14),A1310)))&gt;0),"Neutral",
IF(SUMPRODUCT(--ISNUMBER(SEARCH(TRIM(Keywords!$A$2:$A$16),A1310)))&gt;0,"Positive",
IF(SUMPRODUCT(--ISNUMBER(SEARCH(TRIM(Keywords!$A$2:$B$14),A1310)))&gt;0,"Negative","Neutral")))</f>
        <v>Neutral</v>
      </c>
    </row>
    <row r="1311" spans="1:3" x14ac:dyDescent="0.25">
      <c r="A1311" t="s">
        <v>670</v>
      </c>
      <c r="B1311">
        <v>3</v>
      </c>
      <c r="C1311" t="str">
        <f>IF(AND(SUMPRODUCT(--ISNUMBER(SEARCH(TRIM(Keywords!$A$2:$A$16),A1311)))&gt;0,
        SUMPRODUCT(--ISNUMBER(SEARCH(TRIM(Keywords!$B$2:$B$14),A1311)))&gt;0),"Neutral",
IF(SUMPRODUCT(--ISNUMBER(SEARCH(TRIM(Keywords!$A$2:$A$16),A1311)))&gt;0,"Positive",
IF(SUMPRODUCT(--ISNUMBER(SEARCH(TRIM(Keywords!$A$2:$B$14),A1311)))&gt;0,"Negative","Neutral")))</f>
        <v>Neutral</v>
      </c>
    </row>
    <row r="1312" spans="1:3" x14ac:dyDescent="0.25">
      <c r="A1312" t="s">
        <v>671</v>
      </c>
      <c r="B1312">
        <v>3</v>
      </c>
      <c r="C1312" t="str">
        <f>IF(AND(SUMPRODUCT(--ISNUMBER(SEARCH(TRIM(Keywords!$A$2:$A$16),A1312)))&gt;0,
        SUMPRODUCT(--ISNUMBER(SEARCH(TRIM(Keywords!$B$2:$B$14),A1312)))&gt;0),"Neutral",
IF(SUMPRODUCT(--ISNUMBER(SEARCH(TRIM(Keywords!$A$2:$A$16),A1312)))&gt;0,"Positive",
IF(SUMPRODUCT(--ISNUMBER(SEARCH(TRIM(Keywords!$A$2:$B$14),A1312)))&gt;0,"Negative","Neutral")))</f>
        <v>Neutral</v>
      </c>
    </row>
    <row r="1313" spans="1:3" hidden="1" x14ac:dyDescent="0.25">
      <c r="A1313" t="s">
        <v>672</v>
      </c>
      <c r="B1313">
        <v>1</v>
      </c>
      <c r="C1313" t="str">
        <f>IF(AND(SUMPRODUCT(--ISNUMBER(SEARCH(TRIM(Keywords!$A$2:$A$16),A1313)))&gt;0,
        SUMPRODUCT(--ISNUMBER(SEARCH(TRIM(Keywords!$B$2:$B$14),A1313)))&gt;0),"Neutral",
IF(SUMPRODUCT(--ISNUMBER(SEARCH(TRIM(Keywords!$A$2:$A$16),A1313)))&gt;0,"Positive",
IF(SUMPRODUCT(--ISNUMBER(SEARCH(TRIM(Keywords!$A$2:$B$14),A1313)))&gt;0,"Negative","Neutral")))</f>
        <v>Negative</v>
      </c>
    </row>
    <row r="1314" spans="1:3" hidden="1" x14ac:dyDescent="0.25">
      <c r="A1314" t="s">
        <v>673</v>
      </c>
      <c r="B1314">
        <v>5</v>
      </c>
      <c r="C1314" t="str">
        <f>IF(AND(SUMPRODUCT(--ISNUMBER(SEARCH(TRIM(Keywords!$A$2:$A$16),A1314)))&gt;0,
        SUMPRODUCT(--ISNUMBER(SEARCH(TRIM(Keywords!$B$2:$B$14),A1314)))&gt;0),"Neutral",
IF(SUMPRODUCT(--ISNUMBER(SEARCH(TRIM(Keywords!$A$2:$A$16),A1314)))&gt;0,"Positive",
IF(SUMPRODUCT(--ISNUMBER(SEARCH(TRIM(Keywords!$A$2:$B$14),A1314)))&gt;0,"Negative","Neutral")))</f>
        <v>Positive</v>
      </c>
    </row>
    <row r="1315" spans="1:3" hidden="1" x14ac:dyDescent="0.25">
      <c r="A1315" t="s">
        <v>674</v>
      </c>
      <c r="B1315">
        <v>5</v>
      </c>
      <c r="C1315" t="str">
        <f>IF(AND(SUMPRODUCT(--ISNUMBER(SEARCH(TRIM(Keywords!$A$2:$A$16),A1315)))&gt;0,
        SUMPRODUCT(--ISNUMBER(SEARCH(TRIM(Keywords!$B$2:$B$14),A1315)))&gt;0),"Neutral",
IF(SUMPRODUCT(--ISNUMBER(SEARCH(TRIM(Keywords!$A$2:$A$16),A1315)))&gt;0,"Positive",
IF(SUMPRODUCT(--ISNUMBER(SEARCH(TRIM(Keywords!$A$2:$B$14),A1315)))&gt;0,"Negative","Neutral")))</f>
        <v>Positive</v>
      </c>
    </row>
    <row r="1316" spans="1:3" hidden="1" x14ac:dyDescent="0.25">
      <c r="A1316" t="s">
        <v>2</v>
      </c>
      <c r="B1316">
        <v>5</v>
      </c>
      <c r="C1316" t="str">
        <f>IF(AND(SUMPRODUCT(--ISNUMBER(SEARCH(TRIM(Keywords!$A$2:$A$16),A1316)))&gt;0,
        SUMPRODUCT(--ISNUMBER(SEARCH(TRIM(Keywords!$B$2:$B$14),A1316)))&gt;0),"Neutral",
IF(SUMPRODUCT(--ISNUMBER(SEARCH(TRIM(Keywords!$A$2:$A$16),A1316)))&gt;0,"Positive",
IF(SUMPRODUCT(--ISNUMBER(SEARCH(TRIM(Keywords!$A$2:$B$14),A1316)))&gt;0,"Negative","Neutral")))</f>
        <v>Positive</v>
      </c>
    </row>
    <row r="1317" spans="1:3" hidden="1" x14ac:dyDescent="0.25">
      <c r="A1317" t="s">
        <v>675</v>
      </c>
      <c r="B1317">
        <v>5</v>
      </c>
      <c r="C1317" t="str">
        <f>IF(AND(SUMPRODUCT(--ISNUMBER(SEARCH(TRIM(Keywords!$A$2:$A$16),A1317)))&gt;0,
        SUMPRODUCT(--ISNUMBER(SEARCH(TRIM(Keywords!$B$2:$B$14),A1317)))&gt;0),"Neutral",
IF(SUMPRODUCT(--ISNUMBER(SEARCH(TRIM(Keywords!$A$2:$A$16),A1317)))&gt;0,"Positive",
IF(SUMPRODUCT(--ISNUMBER(SEARCH(TRIM(Keywords!$A$2:$B$14),A1317)))&gt;0,"Negative","Neutral")))</f>
        <v>Positive</v>
      </c>
    </row>
    <row r="1318" spans="1:3" hidden="1" x14ac:dyDescent="0.25">
      <c r="A1318" t="s">
        <v>2</v>
      </c>
      <c r="B1318">
        <v>5</v>
      </c>
      <c r="C1318" t="str">
        <f>IF(AND(SUMPRODUCT(--ISNUMBER(SEARCH(TRIM(Keywords!$A$2:$A$16),A1318)))&gt;0,
        SUMPRODUCT(--ISNUMBER(SEARCH(TRIM(Keywords!$B$2:$B$14),A1318)))&gt;0),"Neutral",
IF(SUMPRODUCT(--ISNUMBER(SEARCH(TRIM(Keywords!$A$2:$A$16),A1318)))&gt;0,"Positive",
IF(SUMPRODUCT(--ISNUMBER(SEARCH(TRIM(Keywords!$A$2:$B$14),A1318)))&gt;0,"Negative","Neutral")))</f>
        <v>Positive</v>
      </c>
    </row>
    <row r="1319" spans="1:3" x14ac:dyDescent="0.25">
      <c r="A1319" t="s">
        <v>676</v>
      </c>
      <c r="B1319">
        <v>5</v>
      </c>
      <c r="C1319" t="str">
        <f>IF(AND(SUMPRODUCT(--ISNUMBER(SEARCH(TRIM(Keywords!$A$2:$A$16),A1319)))&gt;0,
        SUMPRODUCT(--ISNUMBER(SEARCH(TRIM(Keywords!$B$2:$B$14),A1319)))&gt;0),"Neutral",
IF(SUMPRODUCT(--ISNUMBER(SEARCH(TRIM(Keywords!$A$2:$A$16),A1319)))&gt;0,"Positive",
IF(SUMPRODUCT(--ISNUMBER(SEARCH(TRIM(Keywords!$A$2:$B$14),A1319)))&gt;0,"Negative","Neutral")))</f>
        <v>Neutral</v>
      </c>
    </row>
    <row r="1320" spans="1:3" x14ac:dyDescent="0.25">
      <c r="A1320" t="s">
        <v>677</v>
      </c>
      <c r="B1320">
        <v>5</v>
      </c>
      <c r="C1320" t="str">
        <f>IF(AND(SUMPRODUCT(--ISNUMBER(SEARCH(TRIM(Keywords!$A$2:$A$16),A1320)))&gt;0,
        SUMPRODUCT(--ISNUMBER(SEARCH(TRIM(Keywords!$B$2:$B$14),A1320)))&gt;0),"Neutral",
IF(SUMPRODUCT(--ISNUMBER(SEARCH(TRIM(Keywords!$A$2:$A$16),A1320)))&gt;0,"Positive",
IF(SUMPRODUCT(--ISNUMBER(SEARCH(TRIM(Keywords!$A$2:$B$14),A1320)))&gt;0,"Negative","Neutral")))</f>
        <v>Neutral</v>
      </c>
    </row>
    <row r="1321" spans="1:3" hidden="1" x14ac:dyDescent="0.25">
      <c r="A1321" t="s">
        <v>38</v>
      </c>
      <c r="B1321">
        <v>5</v>
      </c>
      <c r="C1321" t="str">
        <f>IF(AND(SUMPRODUCT(--ISNUMBER(SEARCH(TRIM(Keywords!$A$2:$A$16),A1321)))&gt;0,
        SUMPRODUCT(--ISNUMBER(SEARCH(TRIM(Keywords!$B$2:$B$14),A1321)))&gt;0),"Neutral",
IF(SUMPRODUCT(--ISNUMBER(SEARCH(TRIM(Keywords!$A$2:$A$16),A1321)))&gt;0,"Positive",
IF(SUMPRODUCT(--ISNUMBER(SEARCH(TRIM(Keywords!$A$2:$B$14),A1321)))&gt;0,"Negative","Neutral")))</f>
        <v>Positive</v>
      </c>
    </row>
    <row r="1322" spans="1:3" hidden="1" x14ac:dyDescent="0.25">
      <c r="A1322" t="s">
        <v>2</v>
      </c>
      <c r="B1322">
        <v>1</v>
      </c>
      <c r="C1322" t="str">
        <f>IF(AND(SUMPRODUCT(--ISNUMBER(SEARCH(TRIM(Keywords!$A$2:$A$16),A1322)))&gt;0,
        SUMPRODUCT(--ISNUMBER(SEARCH(TRIM(Keywords!$B$2:$B$14),A1322)))&gt;0),"Neutral",
IF(SUMPRODUCT(--ISNUMBER(SEARCH(TRIM(Keywords!$A$2:$A$16),A1322)))&gt;0,"Positive",
IF(SUMPRODUCT(--ISNUMBER(SEARCH(TRIM(Keywords!$A$2:$B$14),A1322)))&gt;0,"Negative","Neutral")))</f>
        <v>Positive</v>
      </c>
    </row>
    <row r="1323" spans="1:3" hidden="1" x14ac:dyDescent="0.25">
      <c r="A1323" t="s">
        <v>678</v>
      </c>
      <c r="B1323">
        <v>5</v>
      </c>
      <c r="C1323" t="str">
        <f>IF(AND(SUMPRODUCT(--ISNUMBER(SEARCH(TRIM(Keywords!$A$2:$A$16),A1323)))&gt;0,
        SUMPRODUCT(--ISNUMBER(SEARCH(TRIM(Keywords!$B$2:$B$14),A1323)))&gt;0),"Neutral",
IF(SUMPRODUCT(--ISNUMBER(SEARCH(TRIM(Keywords!$A$2:$A$16),A1323)))&gt;0,"Positive",
IF(SUMPRODUCT(--ISNUMBER(SEARCH(TRIM(Keywords!$A$2:$B$14),A1323)))&gt;0,"Negative","Neutral")))</f>
        <v>Positive</v>
      </c>
    </row>
    <row r="1324" spans="1:3" x14ac:dyDescent="0.25">
      <c r="A1324" t="s">
        <v>679</v>
      </c>
      <c r="B1324">
        <v>2</v>
      </c>
      <c r="C1324" t="str">
        <f>IF(AND(SUMPRODUCT(--ISNUMBER(SEARCH(TRIM(Keywords!$A$2:$A$16),A1324)))&gt;0,
        SUMPRODUCT(--ISNUMBER(SEARCH(TRIM(Keywords!$B$2:$B$14),A1324)))&gt;0),"Neutral",
IF(SUMPRODUCT(--ISNUMBER(SEARCH(TRIM(Keywords!$A$2:$A$16),A1324)))&gt;0,"Positive",
IF(SUMPRODUCT(--ISNUMBER(SEARCH(TRIM(Keywords!$A$2:$B$14),A1324)))&gt;0,"Negative","Neutral")))</f>
        <v>Neutral</v>
      </c>
    </row>
    <row r="1325" spans="1:3" hidden="1" x14ac:dyDescent="0.25">
      <c r="A1325" t="s">
        <v>2</v>
      </c>
      <c r="B1325">
        <v>5</v>
      </c>
      <c r="C1325" t="str">
        <f>IF(AND(SUMPRODUCT(--ISNUMBER(SEARCH(TRIM(Keywords!$A$2:$A$16),A1325)))&gt;0,
        SUMPRODUCT(--ISNUMBER(SEARCH(TRIM(Keywords!$B$2:$B$14),A1325)))&gt;0),"Neutral",
IF(SUMPRODUCT(--ISNUMBER(SEARCH(TRIM(Keywords!$A$2:$A$16),A1325)))&gt;0,"Positive",
IF(SUMPRODUCT(--ISNUMBER(SEARCH(TRIM(Keywords!$A$2:$B$14),A1325)))&gt;0,"Negative","Neutral")))</f>
        <v>Positive</v>
      </c>
    </row>
    <row r="1326" spans="1:3" hidden="1" x14ac:dyDescent="0.25">
      <c r="A1326" t="s">
        <v>680</v>
      </c>
      <c r="B1326">
        <v>5</v>
      </c>
      <c r="C1326" t="str">
        <f>IF(AND(SUMPRODUCT(--ISNUMBER(SEARCH(TRIM(Keywords!$A$2:$A$16),A1326)))&gt;0,
        SUMPRODUCT(--ISNUMBER(SEARCH(TRIM(Keywords!$B$2:$B$14),A1326)))&gt;0),"Neutral",
IF(SUMPRODUCT(--ISNUMBER(SEARCH(TRIM(Keywords!$A$2:$A$16),A1326)))&gt;0,"Positive",
IF(SUMPRODUCT(--ISNUMBER(SEARCH(TRIM(Keywords!$A$2:$B$14),A1326)))&gt;0,"Negative","Neutral")))</f>
        <v>Positive</v>
      </c>
    </row>
    <row r="1327" spans="1:3" hidden="1" x14ac:dyDescent="0.25">
      <c r="A1327" t="s">
        <v>2</v>
      </c>
      <c r="B1327">
        <v>3</v>
      </c>
      <c r="C1327" t="str">
        <f>IF(AND(SUMPRODUCT(--ISNUMBER(SEARCH(TRIM(Keywords!$A$2:$A$16),A1327)))&gt;0,
        SUMPRODUCT(--ISNUMBER(SEARCH(TRIM(Keywords!$B$2:$B$14),A1327)))&gt;0),"Neutral",
IF(SUMPRODUCT(--ISNUMBER(SEARCH(TRIM(Keywords!$A$2:$A$16),A1327)))&gt;0,"Positive",
IF(SUMPRODUCT(--ISNUMBER(SEARCH(TRIM(Keywords!$A$2:$B$14),A1327)))&gt;0,"Negative","Neutral")))</f>
        <v>Positive</v>
      </c>
    </row>
    <row r="1328" spans="1:3" hidden="1" x14ac:dyDescent="0.25">
      <c r="A1328" t="s">
        <v>4</v>
      </c>
      <c r="B1328">
        <v>5</v>
      </c>
      <c r="C1328" t="str">
        <f>IF(AND(SUMPRODUCT(--ISNUMBER(SEARCH(TRIM(Keywords!$A$2:$A$16),A1328)))&gt;0,
        SUMPRODUCT(--ISNUMBER(SEARCH(TRIM(Keywords!$B$2:$B$14),A1328)))&gt;0),"Neutral",
IF(SUMPRODUCT(--ISNUMBER(SEARCH(TRIM(Keywords!$A$2:$A$16),A1328)))&gt;0,"Positive",
IF(SUMPRODUCT(--ISNUMBER(SEARCH(TRIM(Keywords!$A$2:$B$14),A1328)))&gt;0,"Negative","Neutral")))</f>
        <v>Positive</v>
      </c>
    </row>
    <row r="1329" spans="1:3" x14ac:dyDescent="0.25">
      <c r="A1329" t="s">
        <v>681</v>
      </c>
      <c r="B1329">
        <v>1</v>
      </c>
      <c r="C1329" t="str">
        <f>IF(AND(SUMPRODUCT(--ISNUMBER(SEARCH(TRIM(Keywords!$A$2:$A$16),A1329)))&gt;0,
        SUMPRODUCT(--ISNUMBER(SEARCH(TRIM(Keywords!$B$2:$B$14),A1329)))&gt;0),"Neutral",
IF(SUMPRODUCT(--ISNUMBER(SEARCH(TRIM(Keywords!$A$2:$A$16),A1329)))&gt;0,"Positive",
IF(SUMPRODUCT(--ISNUMBER(SEARCH(TRIM(Keywords!$A$2:$B$14),A1329)))&gt;0,"Negative","Neutral")))</f>
        <v>Neutral</v>
      </c>
    </row>
    <row r="1330" spans="1:3" hidden="1" x14ac:dyDescent="0.25">
      <c r="A1330" t="s">
        <v>280</v>
      </c>
      <c r="B1330">
        <v>4</v>
      </c>
      <c r="C1330" t="str">
        <f>IF(AND(SUMPRODUCT(--ISNUMBER(SEARCH(TRIM(Keywords!$A$2:$A$16),A1330)))&gt;0,
        SUMPRODUCT(--ISNUMBER(SEARCH(TRIM(Keywords!$B$2:$B$14),A1330)))&gt;0),"Neutral",
IF(SUMPRODUCT(--ISNUMBER(SEARCH(TRIM(Keywords!$A$2:$A$16),A1330)))&gt;0,"Positive",
IF(SUMPRODUCT(--ISNUMBER(SEARCH(TRIM(Keywords!$A$2:$B$14),A1330)))&gt;0,"Negative","Neutral")))</f>
        <v>Positive</v>
      </c>
    </row>
    <row r="1331" spans="1:3" x14ac:dyDescent="0.25">
      <c r="A1331" t="s">
        <v>682</v>
      </c>
      <c r="B1331">
        <v>2</v>
      </c>
      <c r="C1331" t="str">
        <f>IF(AND(SUMPRODUCT(--ISNUMBER(SEARCH(TRIM(Keywords!$A$2:$A$16),A1331)))&gt;0,
        SUMPRODUCT(--ISNUMBER(SEARCH(TRIM(Keywords!$B$2:$B$14),A1331)))&gt;0),"Neutral",
IF(SUMPRODUCT(--ISNUMBER(SEARCH(TRIM(Keywords!$A$2:$A$16),A1331)))&gt;0,"Positive",
IF(SUMPRODUCT(--ISNUMBER(SEARCH(TRIM(Keywords!$A$2:$B$14),A1331)))&gt;0,"Negative","Neutral")))</f>
        <v>Neutral</v>
      </c>
    </row>
    <row r="1332" spans="1:3" hidden="1" x14ac:dyDescent="0.25">
      <c r="A1332" t="s">
        <v>683</v>
      </c>
      <c r="B1332">
        <v>1</v>
      </c>
      <c r="C1332" t="str">
        <f>IF(AND(SUMPRODUCT(--ISNUMBER(SEARCH(TRIM(Keywords!$A$2:$A$16),A1332)))&gt;0,
        SUMPRODUCT(--ISNUMBER(SEARCH(TRIM(Keywords!$B$2:$B$14),A1332)))&gt;0),"Neutral",
IF(SUMPRODUCT(--ISNUMBER(SEARCH(TRIM(Keywords!$A$2:$A$16),A1332)))&gt;0,"Positive",
IF(SUMPRODUCT(--ISNUMBER(SEARCH(TRIM(Keywords!$A$2:$B$14),A1332)))&gt;0,"Negative","Neutral")))</f>
        <v>Negative</v>
      </c>
    </row>
    <row r="1333" spans="1:3" x14ac:dyDescent="0.25">
      <c r="A1333" t="s">
        <v>36</v>
      </c>
      <c r="B1333">
        <v>5</v>
      </c>
      <c r="C1333" t="str">
        <f>IF(AND(SUMPRODUCT(--ISNUMBER(SEARCH(TRIM(Keywords!$A$2:$A$16),A1333)))&gt;0,
        SUMPRODUCT(--ISNUMBER(SEARCH(TRIM(Keywords!$B$2:$B$14),A1333)))&gt;0),"Neutral",
IF(SUMPRODUCT(--ISNUMBER(SEARCH(TRIM(Keywords!$A$2:$A$16),A1333)))&gt;0,"Positive",
IF(SUMPRODUCT(--ISNUMBER(SEARCH(TRIM(Keywords!$A$2:$B$14),A1333)))&gt;0,"Negative","Neutral")))</f>
        <v>Neutral</v>
      </c>
    </row>
    <row r="1334" spans="1:3" hidden="1" x14ac:dyDescent="0.25">
      <c r="A1334" t="s">
        <v>684</v>
      </c>
      <c r="B1334">
        <v>5</v>
      </c>
      <c r="C1334" t="str">
        <f>IF(AND(SUMPRODUCT(--ISNUMBER(SEARCH(TRIM(Keywords!$A$2:$A$16),A1334)))&gt;0,
        SUMPRODUCT(--ISNUMBER(SEARCH(TRIM(Keywords!$B$2:$B$14),A1334)))&gt;0),"Neutral",
IF(SUMPRODUCT(--ISNUMBER(SEARCH(TRIM(Keywords!$A$2:$A$16),A1334)))&gt;0,"Positive",
IF(SUMPRODUCT(--ISNUMBER(SEARCH(TRIM(Keywords!$A$2:$B$14),A1334)))&gt;0,"Negative","Neutral")))</f>
        <v>Positive</v>
      </c>
    </row>
    <row r="1335" spans="1:3" hidden="1" x14ac:dyDescent="0.25">
      <c r="A1335" t="s">
        <v>254</v>
      </c>
      <c r="B1335">
        <v>4</v>
      </c>
      <c r="C1335" t="str">
        <f>IF(AND(SUMPRODUCT(--ISNUMBER(SEARCH(TRIM(Keywords!$A$2:$A$16),A1335)))&gt;0,
        SUMPRODUCT(--ISNUMBER(SEARCH(TRIM(Keywords!$B$2:$B$14),A1335)))&gt;0),"Neutral",
IF(SUMPRODUCT(--ISNUMBER(SEARCH(TRIM(Keywords!$A$2:$A$16),A1335)))&gt;0,"Positive",
IF(SUMPRODUCT(--ISNUMBER(SEARCH(TRIM(Keywords!$A$2:$B$14),A1335)))&gt;0,"Negative","Neutral")))</f>
        <v>Positive</v>
      </c>
    </row>
    <row r="1336" spans="1:3" hidden="1" x14ac:dyDescent="0.25">
      <c r="A1336" t="s">
        <v>2</v>
      </c>
      <c r="B1336">
        <v>4</v>
      </c>
      <c r="C1336" t="str">
        <f>IF(AND(SUMPRODUCT(--ISNUMBER(SEARCH(TRIM(Keywords!$A$2:$A$16),A1336)))&gt;0,
        SUMPRODUCT(--ISNUMBER(SEARCH(TRIM(Keywords!$B$2:$B$14),A1336)))&gt;0),"Neutral",
IF(SUMPRODUCT(--ISNUMBER(SEARCH(TRIM(Keywords!$A$2:$A$16),A1336)))&gt;0,"Positive",
IF(SUMPRODUCT(--ISNUMBER(SEARCH(TRIM(Keywords!$A$2:$B$14),A1336)))&gt;0,"Negative","Neutral")))</f>
        <v>Positive</v>
      </c>
    </row>
    <row r="1337" spans="1:3" hidden="1" x14ac:dyDescent="0.25">
      <c r="A1337" t="s">
        <v>685</v>
      </c>
      <c r="B1337">
        <v>5</v>
      </c>
      <c r="C1337" t="str">
        <f>IF(AND(SUMPRODUCT(--ISNUMBER(SEARCH(TRIM(Keywords!$A$2:$A$16),A1337)))&gt;0,
        SUMPRODUCT(--ISNUMBER(SEARCH(TRIM(Keywords!$B$2:$B$14),A1337)))&gt;0),"Neutral",
IF(SUMPRODUCT(--ISNUMBER(SEARCH(TRIM(Keywords!$A$2:$A$16),A1337)))&gt;0,"Positive",
IF(SUMPRODUCT(--ISNUMBER(SEARCH(TRIM(Keywords!$A$2:$B$14),A1337)))&gt;0,"Negative","Neutral")))</f>
        <v>Positive</v>
      </c>
    </row>
    <row r="1338" spans="1:3" hidden="1" x14ac:dyDescent="0.25">
      <c r="A1338" t="s">
        <v>2</v>
      </c>
      <c r="B1338">
        <v>5</v>
      </c>
      <c r="C1338" t="str">
        <f>IF(AND(SUMPRODUCT(--ISNUMBER(SEARCH(TRIM(Keywords!$A$2:$A$16),A1338)))&gt;0,
        SUMPRODUCT(--ISNUMBER(SEARCH(TRIM(Keywords!$B$2:$B$14),A1338)))&gt;0),"Neutral",
IF(SUMPRODUCT(--ISNUMBER(SEARCH(TRIM(Keywords!$A$2:$A$16),A1338)))&gt;0,"Positive",
IF(SUMPRODUCT(--ISNUMBER(SEARCH(TRIM(Keywords!$A$2:$B$14),A1338)))&gt;0,"Negative","Neutral")))</f>
        <v>Positive</v>
      </c>
    </row>
    <row r="1339" spans="1:3" x14ac:dyDescent="0.25">
      <c r="A1339" t="s">
        <v>686</v>
      </c>
      <c r="B1339">
        <v>3</v>
      </c>
      <c r="C1339" t="str">
        <f>IF(AND(SUMPRODUCT(--ISNUMBER(SEARCH(TRIM(Keywords!$A$2:$A$16),A1339)))&gt;0,
        SUMPRODUCT(--ISNUMBER(SEARCH(TRIM(Keywords!$B$2:$B$14),A1339)))&gt;0),"Neutral",
IF(SUMPRODUCT(--ISNUMBER(SEARCH(TRIM(Keywords!$A$2:$A$16),A1339)))&gt;0,"Positive",
IF(SUMPRODUCT(--ISNUMBER(SEARCH(TRIM(Keywords!$A$2:$B$14),A1339)))&gt;0,"Negative","Neutral")))</f>
        <v>Neutral</v>
      </c>
    </row>
    <row r="1340" spans="1:3" hidden="1" x14ac:dyDescent="0.25">
      <c r="A1340" t="s">
        <v>687</v>
      </c>
      <c r="B1340">
        <v>2</v>
      </c>
      <c r="C1340" t="str">
        <f>IF(AND(SUMPRODUCT(--ISNUMBER(SEARCH(TRIM(Keywords!$A$2:$A$16),A1340)))&gt;0,
        SUMPRODUCT(--ISNUMBER(SEARCH(TRIM(Keywords!$B$2:$B$14),A1340)))&gt;0),"Neutral",
IF(SUMPRODUCT(--ISNUMBER(SEARCH(TRIM(Keywords!$A$2:$A$16),A1340)))&gt;0,"Positive",
IF(SUMPRODUCT(--ISNUMBER(SEARCH(TRIM(Keywords!$A$2:$B$14),A1340)))&gt;0,"Negative","Neutral")))</f>
        <v>Negative</v>
      </c>
    </row>
    <row r="1341" spans="1:3" hidden="1" x14ac:dyDescent="0.25">
      <c r="A1341" t="s">
        <v>688</v>
      </c>
      <c r="B1341">
        <v>1</v>
      </c>
      <c r="C1341" t="str">
        <f>IF(AND(SUMPRODUCT(--ISNUMBER(SEARCH(TRIM(Keywords!$A$2:$A$16),A1341)))&gt;0,
        SUMPRODUCT(--ISNUMBER(SEARCH(TRIM(Keywords!$B$2:$B$14),A1341)))&gt;0),"Neutral",
IF(SUMPRODUCT(--ISNUMBER(SEARCH(TRIM(Keywords!$A$2:$A$16),A1341)))&gt;0,"Positive",
IF(SUMPRODUCT(--ISNUMBER(SEARCH(TRIM(Keywords!$A$2:$B$14),A1341)))&gt;0,"Negative","Neutral")))</f>
        <v>Negative</v>
      </c>
    </row>
    <row r="1342" spans="1:3" hidden="1" x14ac:dyDescent="0.25">
      <c r="A1342" t="s">
        <v>2</v>
      </c>
      <c r="B1342">
        <v>5</v>
      </c>
      <c r="C1342" t="str">
        <f>IF(AND(SUMPRODUCT(--ISNUMBER(SEARCH(TRIM(Keywords!$A$2:$A$16),A1342)))&gt;0,
        SUMPRODUCT(--ISNUMBER(SEARCH(TRIM(Keywords!$B$2:$B$14),A1342)))&gt;0),"Neutral",
IF(SUMPRODUCT(--ISNUMBER(SEARCH(TRIM(Keywords!$A$2:$A$16),A1342)))&gt;0,"Positive",
IF(SUMPRODUCT(--ISNUMBER(SEARCH(TRIM(Keywords!$A$2:$B$14),A1342)))&gt;0,"Negative","Neutral")))</f>
        <v>Positive</v>
      </c>
    </row>
    <row r="1343" spans="1:3" hidden="1" x14ac:dyDescent="0.25">
      <c r="A1343" t="s">
        <v>2</v>
      </c>
      <c r="B1343">
        <v>5</v>
      </c>
      <c r="C1343" t="str">
        <f>IF(AND(SUMPRODUCT(--ISNUMBER(SEARCH(TRIM(Keywords!$A$2:$A$16),A1343)))&gt;0,
        SUMPRODUCT(--ISNUMBER(SEARCH(TRIM(Keywords!$B$2:$B$14),A1343)))&gt;0),"Neutral",
IF(SUMPRODUCT(--ISNUMBER(SEARCH(TRIM(Keywords!$A$2:$A$16),A1343)))&gt;0,"Positive",
IF(SUMPRODUCT(--ISNUMBER(SEARCH(TRIM(Keywords!$A$2:$B$14),A1343)))&gt;0,"Negative","Neutral")))</f>
        <v>Positive</v>
      </c>
    </row>
    <row r="1344" spans="1:3" x14ac:dyDescent="0.25">
      <c r="A1344" t="s">
        <v>36</v>
      </c>
      <c r="B1344">
        <v>5</v>
      </c>
      <c r="C1344" t="str">
        <f>IF(AND(SUMPRODUCT(--ISNUMBER(SEARCH(TRIM(Keywords!$A$2:$A$16),A1344)))&gt;0,
        SUMPRODUCT(--ISNUMBER(SEARCH(TRIM(Keywords!$B$2:$B$14),A1344)))&gt;0),"Neutral",
IF(SUMPRODUCT(--ISNUMBER(SEARCH(TRIM(Keywords!$A$2:$A$16),A1344)))&gt;0,"Positive",
IF(SUMPRODUCT(--ISNUMBER(SEARCH(TRIM(Keywords!$A$2:$B$14),A1344)))&gt;0,"Negative","Neutral")))</f>
        <v>Neutral</v>
      </c>
    </row>
    <row r="1345" spans="1:3" hidden="1" x14ac:dyDescent="0.25">
      <c r="A1345" t="s">
        <v>37</v>
      </c>
      <c r="B1345">
        <v>5</v>
      </c>
      <c r="C1345" t="str">
        <f>IF(AND(SUMPRODUCT(--ISNUMBER(SEARCH(TRIM(Keywords!$A$2:$A$16),A1345)))&gt;0,
        SUMPRODUCT(--ISNUMBER(SEARCH(TRIM(Keywords!$B$2:$B$14),A1345)))&gt;0),"Neutral",
IF(SUMPRODUCT(--ISNUMBER(SEARCH(TRIM(Keywords!$A$2:$A$16),A1345)))&gt;0,"Positive",
IF(SUMPRODUCT(--ISNUMBER(SEARCH(TRIM(Keywords!$A$2:$B$14),A1345)))&gt;0,"Negative","Neutral")))</f>
        <v>Positive</v>
      </c>
    </row>
    <row r="1346" spans="1:3" hidden="1" x14ac:dyDescent="0.25">
      <c r="A1346" t="s">
        <v>2</v>
      </c>
      <c r="B1346">
        <v>5</v>
      </c>
      <c r="C1346" t="str">
        <f>IF(AND(SUMPRODUCT(--ISNUMBER(SEARCH(TRIM(Keywords!$A$2:$A$16),A1346)))&gt;0,
        SUMPRODUCT(--ISNUMBER(SEARCH(TRIM(Keywords!$B$2:$B$14),A1346)))&gt;0),"Neutral",
IF(SUMPRODUCT(--ISNUMBER(SEARCH(TRIM(Keywords!$A$2:$A$16),A1346)))&gt;0,"Positive",
IF(SUMPRODUCT(--ISNUMBER(SEARCH(TRIM(Keywords!$A$2:$B$14),A1346)))&gt;0,"Negative","Neutral")))</f>
        <v>Positive</v>
      </c>
    </row>
    <row r="1347" spans="1:3" hidden="1" x14ac:dyDescent="0.25">
      <c r="A1347" t="s">
        <v>38</v>
      </c>
      <c r="B1347">
        <v>5</v>
      </c>
      <c r="C1347" t="str">
        <f>IF(AND(SUMPRODUCT(--ISNUMBER(SEARCH(TRIM(Keywords!$A$2:$A$16),A1347)))&gt;0,
        SUMPRODUCT(--ISNUMBER(SEARCH(TRIM(Keywords!$B$2:$B$14),A1347)))&gt;0),"Neutral",
IF(SUMPRODUCT(--ISNUMBER(SEARCH(TRIM(Keywords!$A$2:$A$16),A1347)))&gt;0,"Positive",
IF(SUMPRODUCT(--ISNUMBER(SEARCH(TRIM(Keywords!$A$2:$B$14),A1347)))&gt;0,"Negative","Neutral")))</f>
        <v>Positive</v>
      </c>
    </row>
    <row r="1348" spans="1:3" hidden="1" x14ac:dyDescent="0.25">
      <c r="A1348" t="s">
        <v>254</v>
      </c>
      <c r="B1348">
        <v>5</v>
      </c>
      <c r="C1348" t="str">
        <f>IF(AND(SUMPRODUCT(--ISNUMBER(SEARCH(TRIM(Keywords!$A$2:$A$16),A1348)))&gt;0,
        SUMPRODUCT(--ISNUMBER(SEARCH(TRIM(Keywords!$B$2:$B$14),A1348)))&gt;0),"Neutral",
IF(SUMPRODUCT(--ISNUMBER(SEARCH(TRIM(Keywords!$A$2:$A$16),A1348)))&gt;0,"Positive",
IF(SUMPRODUCT(--ISNUMBER(SEARCH(TRIM(Keywords!$A$2:$B$14),A1348)))&gt;0,"Negative","Neutral")))</f>
        <v>Positive</v>
      </c>
    </row>
    <row r="1349" spans="1:3" x14ac:dyDescent="0.25">
      <c r="A1349" t="s">
        <v>689</v>
      </c>
      <c r="B1349">
        <v>1</v>
      </c>
      <c r="C1349" t="str">
        <f>IF(AND(SUMPRODUCT(--ISNUMBER(SEARCH(TRIM(Keywords!$A$2:$A$16),A1349)))&gt;0,
        SUMPRODUCT(--ISNUMBER(SEARCH(TRIM(Keywords!$B$2:$B$14),A1349)))&gt;0),"Neutral",
IF(SUMPRODUCT(--ISNUMBER(SEARCH(TRIM(Keywords!$A$2:$A$16),A1349)))&gt;0,"Positive",
IF(SUMPRODUCT(--ISNUMBER(SEARCH(TRIM(Keywords!$A$2:$B$14),A1349)))&gt;0,"Negative","Neutral")))</f>
        <v>Neutral</v>
      </c>
    </row>
    <row r="1350" spans="1:3" x14ac:dyDescent="0.25">
      <c r="A1350" t="s">
        <v>513</v>
      </c>
      <c r="B1350">
        <v>4</v>
      </c>
      <c r="C1350" t="str">
        <f>IF(AND(SUMPRODUCT(--ISNUMBER(SEARCH(TRIM(Keywords!$A$2:$A$16),A1350)))&gt;0,
        SUMPRODUCT(--ISNUMBER(SEARCH(TRIM(Keywords!$B$2:$B$14),A1350)))&gt;0),"Neutral",
IF(SUMPRODUCT(--ISNUMBER(SEARCH(TRIM(Keywords!$A$2:$A$16),A1350)))&gt;0,"Positive",
IF(SUMPRODUCT(--ISNUMBER(SEARCH(TRIM(Keywords!$A$2:$B$14),A1350)))&gt;0,"Negative","Neutral")))</f>
        <v>Neutral</v>
      </c>
    </row>
    <row r="1351" spans="1:3" hidden="1" x14ac:dyDescent="0.25">
      <c r="A1351" t="s">
        <v>2</v>
      </c>
      <c r="B1351">
        <v>5</v>
      </c>
      <c r="C1351" t="str">
        <f>IF(AND(SUMPRODUCT(--ISNUMBER(SEARCH(TRIM(Keywords!$A$2:$A$16),A1351)))&gt;0,
        SUMPRODUCT(--ISNUMBER(SEARCH(TRIM(Keywords!$B$2:$B$14),A1351)))&gt;0),"Neutral",
IF(SUMPRODUCT(--ISNUMBER(SEARCH(TRIM(Keywords!$A$2:$A$16),A1351)))&gt;0,"Positive",
IF(SUMPRODUCT(--ISNUMBER(SEARCH(TRIM(Keywords!$A$2:$B$14),A1351)))&gt;0,"Negative","Neutral")))</f>
        <v>Positive</v>
      </c>
    </row>
    <row r="1352" spans="1:3" hidden="1" x14ac:dyDescent="0.25">
      <c r="A1352" t="s">
        <v>341</v>
      </c>
      <c r="B1352">
        <v>5</v>
      </c>
      <c r="C1352" t="str">
        <f>IF(AND(SUMPRODUCT(--ISNUMBER(SEARCH(TRIM(Keywords!$A$2:$A$16),A1352)))&gt;0,
        SUMPRODUCT(--ISNUMBER(SEARCH(TRIM(Keywords!$B$2:$B$14),A1352)))&gt;0),"Neutral",
IF(SUMPRODUCT(--ISNUMBER(SEARCH(TRIM(Keywords!$A$2:$A$16),A1352)))&gt;0,"Positive",
IF(SUMPRODUCT(--ISNUMBER(SEARCH(TRIM(Keywords!$A$2:$B$14),A1352)))&gt;0,"Negative","Neutral")))</f>
        <v>Positive</v>
      </c>
    </row>
    <row r="1353" spans="1:3" x14ac:dyDescent="0.25">
      <c r="A1353" t="s">
        <v>690</v>
      </c>
      <c r="B1353">
        <v>5</v>
      </c>
      <c r="C1353" t="str">
        <f>IF(AND(SUMPRODUCT(--ISNUMBER(SEARCH(TRIM(Keywords!$A$2:$A$16),A1353)))&gt;0,
        SUMPRODUCT(--ISNUMBER(SEARCH(TRIM(Keywords!$B$2:$B$14),A1353)))&gt;0),"Neutral",
IF(SUMPRODUCT(--ISNUMBER(SEARCH(TRIM(Keywords!$A$2:$A$16),A1353)))&gt;0,"Positive",
IF(SUMPRODUCT(--ISNUMBER(SEARCH(TRIM(Keywords!$A$2:$B$14),A1353)))&gt;0,"Negative","Neutral")))</f>
        <v>Neutral</v>
      </c>
    </row>
    <row r="1354" spans="1:3" hidden="1" x14ac:dyDescent="0.25">
      <c r="A1354" t="s">
        <v>2</v>
      </c>
      <c r="B1354">
        <v>5</v>
      </c>
      <c r="C1354" t="str">
        <f>IF(AND(SUMPRODUCT(--ISNUMBER(SEARCH(TRIM(Keywords!$A$2:$A$16),A1354)))&gt;0,
        SUMPRODUCT(--ISNUMBER(SEARCH(TRIM(Keywords!$B$2:$B$14),A1354)))&gt;0),"Neutral",
IF(SUMPRODUCT(--ISNUMBER(SEARCH(TRIM(Keywords!$A$2:$A$16),A1354)))&gt;0,"Positive",
IF(SUMPRODUCT(--ISNUMBER(SEARCH(TRIM(Keywords!$A$2:$B$14),A1354)))&gt;0,"Negative","Neutral")))</f>
        <v>Positive</v>
      </c>
    </row>
    <row r="1355" spans="1:3" x14ac:dyDescent="0.25">
      <c r="A1355" t="s">
        <v>36</v>
      </c>
      <c r="B1355">
        <v>5</v>
      </c>
      <c r="C1355" t="str">
        <f>IF(AND(SUMPRODUCT(--ISNUMBER(SEARCH(TRIM(Keywords!$A$2:$A$16),A1355)))&gt;0,
        SUMPRODUCT(--ISNUMBER(SEARCH(TRIM(Keywords!$B$2:$B$14),A1355)))&gt;0),"Neutral",
IF(SUMPRODUCT(--ISNUMBER(SEARCH(TRIM(Keywords!$A$2:$A$16),A1355)))&gt;0,"Positive",
IF(SUMPRODUCT(--ISNUMBER(SEARCH(TRIM(Keywords!$A$2:$B$14),A1355)))&gt;0,"Negative","Neutral")))</f>
        <v>Neutral</v>
      </c>
    </row>
    <row r="1356" spans="1:3" hidden="1" x14ac:dyDescent="0.25">
      <c r="A1356" t="s">
        <v>39</v>
      </c>
      <c r="B1356">
        <v>5</v>
      </c>
      <c r="C1356" t="str">
        <f>IF(AND(SUMPRODUCT(--ISNUMBER(SEARCH(TRIM(Keywords!$A$2:$A$16),A1356)))&gt;0,
        SUMPRODUCT(--ISNUMBER(SEARCH(TRIM(Keywords!$B$2:$B$14),A1356)))&gt;0),"Neutral",
IF(SUMPRODUCT(--ISNUMBER(SEARCH(TRIM(Keywords!$A$2:$A$16),A1356)))&gt;0,"Positive",
IF(SUMPRODUCT(--ISNUMBER(SEARCH(TRIM(Keywords!$A$2:$B$14),A1356)))&gt;0,"Negative","Neutral")))</f>
        <v>Positive</v>
      </c>
    </row>
    <row r="1357" spans="1:3" x14ac:dyDescent="0.25">
      <c r="A1357" t="s">
        <v>691</v>
      </c>
      <c r="B1357">
        <v>5</v>
      </c>
      <c r="C1357" t="str">
        <f>IF(AND(SUMPRODUCT(--ISNUMBER(SEARCH(TRIM(Keywords!$A$2:$A$16),A1357)))&gt;0,
        SUMPRODUCT(--ISNUMBER(SEARCH(TRIM(Keywords!$B$2:$B$14),A1357)))&gt;0),"Neutral",
IF(SUMPRODUCT(--ISNUMBER(SEARCH(TRIM(Keywords!$A$2:$A$16),A1357)))&gt;0,"Positive",
IF(SUMPRODUCT(--ISNUMBER(SEARCH(TRIM(Keywords!$A$2:$B$14),A1357)))&gt;0,"Negative","Neutral")))</f>
        <v>Neutral</v>
      </c>
    </row>
    <row r="1358" spans="1:3" x14ac:dyDescent="0.25">
      <c r="A1358" t="s">
        <v>64</v>
      </c>
      <c r="B1358">
        <v>3</v>
      </c>
      <c r="C1358" t="str">
        <f>IF(AND(SUMPRODUCT(--ISNUMBER(SEARCH(TRIM(Keywords!$A$2:$A$16),A1358)))&gt;0,
        SUMPRODUCT(--ISNUMBER(SEARCH(TRIM(Keywords!$B$2:$B$14),A1358)))&gt;0),"Neutral",
IF(SUMPRODUCT(--ISNUMBER(SEARCH(TRIM(Keywords!$A$2:$A$16),A1358)))&gt;0,"Positive",
IF(SUMPRODUCT(--ISNUMBER(SEARCH(TRIM(Keywords!$A$2:$B$14),A1358)))&gt;0,"Negative","Neutral")))</f>
        <v>Neutral</v>
      </c>
    </row>
    <row r="1359" spans="1:3" hidden="1" x14ac:dyDescent="0.25">
      <c r="A1359" t="s">
        <v>2</v>
      </c>
      <c r="B1359">
        <v>4</v>
      </c>
      <c r="C1359" t="str">
        <f>IF(AND(SUMPRODUCT(--ISNUMBER(SEARCH(TRIM(Keywords!$A$2:$A$16),A1359)))&gt;0,
        SUMPRODUCT(--ISNUMBER(SEARCH(TRIM(Keywords!$B$2:$B$14),A1359)))&gt;0),"Neutral",
IF(SUMPRODUCT(--ISNUMBER(SEARCH(TRIM(Keywords!$A$2:$A$16),A1359)))&gt;0,"Positive",
IF(SUMPRODUCT(--ISNUMBER(SEARCH(TRIM(Keywords!$A$2:$B$14),A1359)))&gt;0,"Negative","Neutral")))</f>
        <v>Positive</v>
      </c>
    </row>
    <row r="1360" spans="1:3" hidden="1" x14ac:dyDescent="0.25">
      <c r="A1360" t="s">
        <v>12</v>
      </c>
      <c r="B1360">
        <v>5</v>
      </c>
      <c r="C1360" t="str">
        <f>IF(AND(SUMPRODUCT(--ISNUMBER(SEARCH(TRIM(Keywords!$A$2:$A$16),A1360)))&gt;0,
        SUMPRODUCT(--ISNUMBER(SEARCH(TRIM(Keywords!$B$2:$B$14),A1360)))&gt;0),"Neutral",
IF(SUMPRODUCT(--ISNUMBER(SEARCH(TRIM(Keywords!$A$2:$A$16),A1360)))&gt;0,"Positive",
IF(SUMPRODUCT(--ISNUMBER(SEARCH(TRIM(Keywords!$A$2:$B$14),A1360)))&gt;0,"Negative","Neutral")))</f>
        <v>Positive</v>
      </c>
    </row>
    <row r="1361" spans="1:3" hidden="1" x14ac:dyDescent="0.25">
      <c r="A1361" t="s">
        <v>2</v>
      </c>
      <c r="B1361">
        <v>5</v>
      </c>
      <c r="C1361" t="str">
        <f>IF(AND(SUMPRODUCT(--ISNUMBER(SEARCH(TRIM(Keywords!$A$2:$A$16),A1361)))&gt;0,
        SUMPRODUCT(--ISNUMBER(SEARCH(TRIM(Keywords!$B$2:$B$14),A1361)))&gt;0),"Neutral",
IF(SUMPRODUCT(--ISNUMBER(SEARCH(TRIM(Keywords!$A$2:$A$16),A1361)))&gt;0,"Positive",
IF(SUMPRODUCT(--ISNUMBER(SEARCH(TRIM(Keywords!$A$2:$B$14),A1361)))&gt;0,"Negative","Neutral")))</f>
        <v>Positive</v>
      </c>
    </row>
    <row r="1362" spans="1:3" hidden="1" x14ac:dyDescent="0.25">
      <c r="A1362" t="s">
        <v>2</v>
      </c>
      <c r="B1362">
        <v>3</v>
      </c>
      <c r="C1362" t="str">
        <f>IF(AND(SUMPRODUCT(--ISNUMBER(SEARCH(TRIM(Keywords!$A$2:$A$16),A1362)))&gt;0,
        SUMPRODUCT(--ISNUMBER(SEARCH(TRIM(Keywords!$B$2:$B$14),A1362)))&gt;0),"Neutral",
IF(SUMPRODUCT(--ISNUMBER(SEARCH(TRIM(Keywords!$A$2:$A$16),A1362)))&gt;0,"Positive",
IF(SUMPRODUCT(--ISNUMBER(SEARCH(TRIM(Keywords!$A$2:$B$14),A1362)))&gt;0,"Negative","Neutral")))</f>
        <v>Positive</v>
      </c>
    </row>
    <row r="1363" spans="1:3" hidden="1" x14ac:dyDescent="0.25">
      <c r="A1363" t="s">
        <v>692</v>
      </c>
      <c r="B1363">
        <v>5</v>
      </c>
      <c r="C1363" t="str">
        <f>IF(AND(SUMPRODUCT(--ISNUMBER(SEARCH(TRIM(Keywords!$A$2:$A$16),A1363)))&gt;0,
        SUMPRODUCT(--ISNUMBER(SEARCH(TRIM(Keywords!$B$2:$B$14),A1363)))&gt;0),"Neutral",
IF(SUMPRODUCT(--ISNUMBER(SEARCH(TRIM(Keywords!$A$2:$A$16),A1363)))&gt;0,"Positive",
IF(SUMPRODUCT(--ISNUMBER(SEARCH(TRIM(Keywords!$A$2:$B$14),A1363)))&gt;0,"Negative","Neutral")))</f>
        <v>Positive</v>
      </c>
    </row>
    <row r="1364" spans="1:3" hidden="1" x14ac:dyDescent="0.25">
      <c r="A1364" t="s">
        <v>693</v>
      </c>
      <c r="B1364">
        <v>5</v>
      </c>
      <c r="C1364" t="str">
        <f>IF(AND(SUMPRODUCT(--ISNUMBER(SEARCH(TRIM(Keywords!$A$2:$A$16),A1364)))&gt;0,
        SUMPRODUCT(--ISNUMBER(SEARCH(TRIM(Keywords!$B$2:$B$14),A1364)))&gt;0),"Neutral",
IF(SUMPRODUCT(--ISNUMBER(SEARCH(TRIM(Keywords!$A$2:$A$16),A1364)))&gt;0,"Positive",
IF(SUMPRODUCT(--ISNUMBER(SEARCH(TRIM(Keywords!$A$2:$B$14),A1364)))&gt;0,"Negative","Neutral")))</f>
        <v>Positive</v>
      </c>
    </row>
    <row r="1365" spans="1:3" hidden="1" x14ac:dyDescent="0.25">
      <c r="A1365" t="s">
        <v>519</v>
      </c>
      <c r="B1365">
        <v>4</v>
      </c>
      <c r="C1365" t="str">
        <f>IF(AND(SUMPRODUCT(--ISNUMBER(SEARCH(TRIM(Keywords!$A$2:$A$16),A1365)))&gt;0,
        SUMPRODUCT(--ISNUMBER(SEARCH(TRIM(Keywords!$B$2:$B$14),A1365)))&gt;0),"Neutral",
IF(SUMPRODUCT(--ISNUMBER(SEARCH(TRIM(Keywords!$A$2:$A$16),A1365)))&gt;0,"Positive",
IF(SUMPRODUCT(--ISNUMBER(SEARCH(TRIM(Keywords!$A$2:$B$14),A1365)))&gt;0,"Negative","Neutral")))</f>
        <v>Positive</v>
      </c>
    </row>
    <row r="1366" spans="1:3" hidden="1" x14ac:dyDescent="0.25">
      <c r="A1366" t="s">
        <v>2</v>
      </c>
      <c r="B1366">
        <v>4</v>
      </c>
      <c r="C1366" t="str">
        <f>IF(AND(SUMPRODUCT(--ISNUMBER(SEARCH(TRIM(Keywords!$A$2:$A$16),A1366)))&gt;0,
        SUMPRODUCT(--ISNUMBER(SEARCH(TRIM(Keywords!$B$2:$B$14),A1366)))&gt;0),"Neutral",
IF(SUMPRODUCT(--ISNUMBER(SEARCH(TRIM(Keywords!$A$2:$A$16),A1366)))&gt;0,"Positive",
IF(SUMPRODUCT(--ISNUMBER(SEARCH(TRIM(Keywords!$A$2:$B$14),A1366)))&gt;0,"Negative","Neutral")))</f>
        <v>Positive</v>
      </c>
    </row>
    <row r="1367" spans="1:3" x14ac:dyDescent="0.25">
      <c r="A1367" t="s">
        <v>694</v>
      </c>
      <c r="B1367">
        <v>3</v>
      </c>
      <c r="C1367" t="str">
        <f>IF(AND(SUMPRODUCT(--ISNUMBER(SEARCH(TRIM(Keywords!$A$2:$A$16),A1367)))&gt;0,
        SUMPRODUCT(--ISNUMBER(SEARCH(TRIM(Keywords!$B$2:$B$14),A1367)))&gt;0),"Neutral",
IF(SUMPRODUCT(--ISNUMBER(SEARCH(TRIM(Keywords!$A$2:$A$16),A1367)))&gt;0,"Positive",
IF(SUMPRODUCT(--ISNUMBER(SEARCH(TRIM(Keywords!$A$2:$B$14),A1367)))&gt;0,"Negative","Neutral")))</f>
        <v>Neutral</v>
      </c>
    </row>
    <row r="1368" spans="1:3" x14ac:dyDescent="0.25">
      <c r="A1368" t="s">
        <v>34</v>
      </c>
      <c r="B1368">
        <v>5</v>
      </c>
      <c r="C1368" t="str">
        <f>IF(AND(SUMPRODUCT(--ISNUMBER(SEARCH(TRIM(Keywords!$A$2:$A$16),A1368)))&gt;0,
        SUMPRODUCT(--ISNUMBER(SEARCH(TRIM(Keywords!$B$2:$B$14),A1368)))&gt;0),"Neutral",
IF(SUMPRODUCT(--ISNUMBER(SEARCH(TRIM(Keywords!$A$2:$A$16),A1368)))&gt;0,"Positive",
IF(SUMPRODUCT(--ISNUMBER(SEARCH(TRIM(Keywords!$A$2:$B$14),A1368)))&gt;0,"Negative","Neutral")))</f>
        <v>Neutral</v>
      </c>
    </row>
    <row r="1369" spans="1:3" hidden="1" x14ac:dyDescent="0.25">
      <c r="A1369" t="s">
        <v>695</v>
      </c>
      <c r="B1369">
        <v>5</v>
      </c>
      <c r="C1369" t="str">
        <f>IF(AND(SUMPRODUCT(--ISNUMBER(SEARCH(TRIM(Keywords!$A$2:$A$16),A1369)))&gt;0,
        SUMPRODUCT(--ISNUMBER(SEARCH(TRIM(Keywords!$B$2:$B$14),A1369)))&gt;0),"Neutral",
IF(SUMPRODUCT(--ISNUMBER(SEARCH(TRIM(Keywords!$A$2:$A$16),A1369)))&gt;0,"Positive",
IF(SUMPRODUCT(--ISNUMBER(SEARCH(TRIM(Keywords!$A$2:$B$14),A1369)))&gt;0,"Negative","Neutral")))</f>
        <v>Positive</v>
      </c>
    </row>
    <row r="1370" spans="1:3" hidden="1" x14ac:dyDescent="0.25">
      <c r="A1370" t="s">
        <v>2</v>
      </c>
      <c r="B1370">
        <v>5</v>
      </c>
      <c r="C1370" t="str">
        <f>IF(AND(SUMPRODUCT(--ISNUMBER(SEARCH(TRIM(Keywords!$A$2:$A$16),A1370)))&gt;0,
        SUMPRODUCT(--ISNUMBER(SEARCH(TRIM(Keywords!$B$2:$B$14),A1370)))&gt;0),"Neutral",
IF(SUMPRODUCT(--ISNUMBER(SEARCH(TRIM(Keywords!$A$2:$A$16),A1370)))&gt;0,"Positive",
IF(SUMPRODUCT(--ISNUMBER(SEARCH(TRIM(Keywords!$A$2:$B$14),A1370)))&gt;0,"Negative","Neutral")))</f>
        <v>Positive</v>
      </c>
    </row>
    <row r="1371" spans="1:3" hidden="1" x14ac:dyDescent="0.25">
      <c r="A1371" t="s">
        <v>2</v>
      </c>
      <c r="B1371">
        <v>5</v>
      </c>
      <c r="C1371" t="str">
        <f>IF(AND(SUMPRODUCT(--ISNUMBER(SEARCH(TRIM(Keywords!$A$2:$A$16),A1371)))&gt;0,
        SUMPRODUCT(--ISNUMBER(SEARCH(TRIM(Keywords!$B$2:$B$14),A1371)))&gt;0),"Neutral",
IF(SUMPRODUCT(--ISNUMBER(SEARCH(TRIM(Keywords!$A$2:$A$16),A1371)))&gt;0,"Positive",
IF(SUMPRODUCT(--ISNUMBER(SEARCH(TRIM(Keywords!$A$2:$B$14),A1371)))&gt;0,"Negative","Neutral")))</f>
        <v>Positive</v>
      </c>
    </row>
    <row r="1372" spans="1:3" hidden="1" x14ac:dyDescent="0.25">
      <c r="A1372" t="s">
        <v>124</v>
      </c>
      <c r="B1372">
        <v>5</v>
      </c>
      <c r="C1372" t="str">
        <f>IF(AND(SUMPRODUCT(--ISNUMBER(SEARCH(TRIM(Keywords!$A$2:$A$16),A1372)))&gt;0,
        SUMPRODUCT(--ISNUMBER(SEARCH(TRIM(Keywords!$B$2:$B$14),A1372)))&gt;0),"Neutral",
IF(SUMPRODUCT(--ISNUMBER(SEARCH(TRIM(Keywords!$A$2:$A$16),A1372)))&gt;0,"Positive",
IF(SUMPRODUCT(--ISNUMBER(SEARCH(TRIM(Keywords!$A$2:$B$14),A1372)))&gt;0,"Negative","Neutral")))</f>
        <v>Positive</v>
      </c>
    </row>
    <row r="1373" spans="1:3" hidden="1" x14ac:dyDescent="0.25">
      <c r="A1373" t="s">
        <v>696</v>
      </c>
      <c r="B1373">
        <v>5</v>
      </c>
      <c r="C1373" t="str">
        <f>IF(AND(SUMPRODUCT(--ISNUMBER(SEARCH(TRIM(Keywords!$A$2:$A$16),A1373)))&gt;0,
        SUMPRODUCT(--ISNUMBER(SEARCH(TRIM(Keywords!$B$2:$B$14),A1373)))&gt;0),"Neutral",
IF(SUMPRODUCT(--ISNUMBER(SEARCH(TRIM(Keywords!$A$2:$A$16),A1373)))&gt;0,"Positive",
IF(SUMPRODUCT(--ISNUMBER(SEARCH(TRIM(Keywords!$A$2:$B$14),A1373)))&gt;0,"Negative","Neutral")))</f>
        <v>Positive</v>
      </c>
    </row>
    <row r="1374" spans="1:3" hidden="1" x14ac:dyDescent="0.25">
      <c r="A1374" t="s">
        <v>697</v>
      </c>
      <c r="B1374">
        <v>1</v>
      </c>
      <c r="C1374" t="str">
        <f>IF(AND(SUMPRODUCT(--ISNUMBER(SEARCH(TRIM(Keywords!$A$2:$A$16),A1374)))&gt;0,
        SUMPRODUCT(--ISNUMBER(SEARCH(TRIM(Keywords!$B$2:$B$14),A1374)))&gt;0),"Neutral",
IF(SUMPRODUCT(--ISNUMBER(SEARCH(TRIM(Keywords!$A$2:$A$16),A1374)))&gt;0,"Positive",
IF(SUMPRODUCT(--ISNUMBER(SEARCH(TRIM(Keywords!$A$2:$B$14),A1374)))&gt;0,"Negative","Neutral")))</f>
        <v>Negative</v>
      </c>
    </row>
    <row r="1375" spans="1:3" hidden="1" x14ac:dyDescent="0.25">
      <c r="A1375" t="s">
        <v>37</v>
      </c>
      <c r="B1375">
        <v>5</v>
      </c>
      <c r="C1375" t="str">
        <f>IF(AND(SUMPRODUCT(--ISNUMBER(SEARCH(TRIM(Keywords!$A$2:$A$16),A1375)))&gt;0,
        SUMPRODUCT(--ISNUMBER(SEARCH(TRIM(Keywords!$B$2:$B$14),A1375)))&gt;0),"Neutral",
IF(SUMPRODUCT(--ISNUMBER(SEARCH(TRIM(Keywords!$A$2:$A$16),A1375)))&gt;0,"Positive",
IF(SUMPRODUCT(--ISNUMBER(SEARCH(TRIM(Keywords!$A$2:$B$14),A1375)))&gt;0,"Negative","Neutral")))</f>
        <v>Positive</v>
      </c>
    </row>
    <row r="1376" spans="1:3" hidden="1" x14ac:dyDescent="0.25">
      <c r="A1376" t="s">
        <v>10</v>
      </c>
      <c r="B1376">
        <v>5</v>
      </c>
      <c r="C1376" t="str">
        <f>IF(AND(SUMPRODUCT(--ISNUMBER(SEARCH(TRIM(Keywords!$A$2:$A$16),A1376)))&gt;0,
        SUMPRODUCT(--ISNUMBER(SEARCH(TRIM(Keywords!$B$2:$B$14),A1376)))&gt;0),"Neutral",
IF(SUMPRODUCT(--ISNUMBER(SEARCH(TRIM(Keywords!$A$2:$A$16),A1376)))&gt;0,"Positive",
IF(SUMPRODUCT(--ISNUMBER(SEARCH(TRIM(Keywords!$A$2:$B$14),A1376)))&gt;0,"Negative","Neutral")))</f>
        <v>Positive</v>
      </c>
    </row>
    <row r="1377" spans="1:3" hidden="1" x14ac:dyDescent="0.25">
      <c r="A1377" t="s">
        <v>6</v>
      </c>
      <c r="B1377">
        <v>5</v>
      </c>
      <c r="C1377" t="str">
        <f>IF(AND(SUMPRODUCT(--ISNUMBER(SEARCH(TRIM(Keywords!$A$2:$A$16),A1377)))&gt;0,
        SUMPRODUCT(--ISNUMBER(SEARCH(TRIM(Keywords!$B$2:$B$14),A1377)))&gt;0),"Neutral",
IF(SUMPRODUCT(--ISNUMBER(SEARCH(TRIM(Keywords!$A$2:$A$16),A1377)))&gt;0,"Positive",
IF(SUMPRODUCT(--ISNUMBER(SEARCH(TRIM(Keywords!$A$2:$B$14),A1377)))&gt;0,"Negative","Neutral")))</f>
        <v>Positive</v>
      </c>
    </row>
    <row r="1378" spans="1:3" hidden="1" x14ac:dyDescent="0.25">
      <c r="A1378" t="s">
        <v>698</v>
      </c>
      <c r="B1378">
        <v>5</v>
      </c>
      <c r="C1378" t="str">
        <f>IF(AND(SUMPRODUCT(--ISNUMBER(SEARCH(TRIM(Keywords!$A$2:$A$16),A1378)))&gt;0,
        SUMPRODUCT(--ISNUMBER(SEARCH(TRIM(Keywords!$B$2:$B$14),A1378)))&gt;0),"Neutral",
IF(SUMPRODUCT(--ISNUMBER(SEARCH(TRIM(Keywords!$A$2:$A$16),A1378)))&gt;0,"Positive",
IF(SUMPRODUCT(--ISNUMBER(SEARCH(TRIM(Keywords!$A$2:$B$14),A1378)))&gt;0,"Negative","Neutral")))</f>
        <v>Positive</v>
      </c>
    </row>
    <row r="1379" spans="1:3" hidden="1" x14ac:dyDescent="0.25">
      <c r="A1379" t="s">
        <v>699</v>
      </c>
      <c r="B1379">
        <v>5</v>
      </c>
      <c r="C1379" t="str">
        <f>IF(AND(SUMPRODUCT(--ISNUMBER(SEARCH(TRIM(Keywords!$A$2:$A$16),A1379)))&gt;0,
        SUMPRODUCT(--ISNUMBER(SEARCH(TRIM(Keywords!$B$2:$B$14),A1379)))&gt;0),"Neutral",
IF(SUMPRODUCT(--ISNUMBER(SEARCH(TRIM(Keywords!$A$2:$A$16),A1379)))&gt;0,"Positive",
IF(SUMPRODUCT(--ISNUMBER(SEARCH(TRIM(Keywords!$A$2:$B$14),A1379)))&gt;0,"Negative","Neutral")))</f>
        <v>Positive</v>
      </c>
    </row>
    <row r="1380" spans="1:3" x14ac:dyDescent="0.25">
      <c r="A1380" t="s">
        <v>700</v>
      </c>
      <c r="B1380">
        <v>5</v>
      </c>
      <c r="C1380" t="str">
        <f>IF(AND(SUMPRODUCT(--ISNUMBER(SEARCH(TRIM(Keywords!$A$2:$A$16),A1380)))&gt;0,
        SUMPRODUCT(--ISNUMBER(SEARCH(TRIM(Keywords!$B$2:$B$14),A1380)))&gt;0),"Neutral",
IF(SUMPRODUCT(--ISNUMBER(SEARCH(TRIM(Keywords!$A$2:$A$16),A1380)))&gt;0,"Positive",
IF(SUMPRODUCT(--ISNUMBER(SEARCH(TRIM(Keywords!$A$2:$B$14),A1380)))&gt;0,"Negative","Neutral")))</f>
        <v>Neutral</v>
      </c>
    </row>
    <row r="1381" spans="1:3" x14ac:dyDescent="0.25">
      <c r="A1381" t="s">
        <v>36</v>
      </c>
      <c r="B1381">
        <v>5</v>
      </c>
      <c r="C1381" t="str">
        <f>IF(AND(SUMPRODUCT(--ISNUMBER(SEARCH(TRIM(Keywords!$A$2:$A$16),A1381)))&gt;0,
        SUMPRODUCT(--ISNUMBER(SEARCH(TRIM(Keywords!$B$2:$B$14),A1381)))&gt;0),"Neutral",
IF(SUMPRODUCT(--ISNUMBER(SEARCH(TRIM(Keywords!$A$2:$A$16),A1381)))&gt;0,"Positive",
IF(SUMPRODUCT(--ISNUMBER(SEARCH(TRIM(Keywords!$A$2:$B$14),A1381)))&gt;0,"Negative","Neutral")))</f>
        <v>Neutral</v>
      </c>
    </row>
    <row r="1382" spans="1:3" hidden="1" x14ac:dyDescent="0.25">
      <c r="A1382" t="s">
        <v>2</v>
      </c>
      <c r="B1382">
        <v>5</v>
      </c>
      <c r="C1382" t="str">
        <f>IF(AND(SUMPRODUCT(--ISNUMBER(SEARCH(TRIM(Keywords!$A$2:$A$16),A1382)))&gt;0,
        SUMPRODUCT(--ISNUMBER(SEARCH(TRIM(Keywords!$B$2:$B$14),A1382)))&gt;0),"Neutral",
IF(SUMPRODUCT(--ISNUMBER(SEARCH(TRIM(Keywords!$A$2:$A$16),A1382)))&gt;0,"Positive",
IF(SUMPRODUCT(--ISNUMBER(SEARCH(TRIM(Keywords!$A$2:$B$14),A1382)))&gt;0,"Negative","Neutral")))</f>
        <v>Positive</v>
      </c>
    </row>
    <row r="1383" spans="1:3" x14ac:dyDescent="0.25">
      <c r="A1383" t="s">
        <v>36</v>
      </c>
      <c r="B1383">
        <v>4</v>
      </c>
      <c r="C1383" t="str">
        <f>IF(AND(SUMPRODUCT(--ISNUMBER(SEARCH(TRIM(Keywords!$A$2:$A$16),A1383)))&gt;0,
        SUMPRODUCT(--ISNUMBER(SEARCH(TRIM(Keywords!$B$2:$B$14),A1383)))&gt;0),"Neutral",
IF(SUMPRODUCT(--ISNUMBER(SEARCH(TRIM(Keywords!$A$2:$A$16),A1383)))&gt;0,"Positive",
IF(SUMPRODUCT(--ISNUMBER(SEARCH(TRIM(Keywords!$A$2:$B$14),A1383)))&gt;0,"Negative","Neutral")))</f>
        <v>Neutral</v>
      </c>
    </row>
    <row r="1384" spans="1:3" hidden="1" x14ac:dyDescent="0.25">
      <c r="A1384" t="s">
        <v>2</v>
      </c>
      <c r="B1384">
        <v>5</v>
      </c>
      <c r="C1384" t="str">
        <f>IF(AND(SUMPRODUCT(--ISNUMBER(SEARCH(TRIM(Keywords!$A$2:$A$16),A1384)))&gt;0,
        SUMPRODUCT(--ISNUMBER(SEARCH(TRIM(Keywords!$B$2:$B$14),A1384)))&gt;0),"Neutral",
IF(SUMPRODUCT(--ISNUMBER(SEARCH(TRIM(Keywords!$A$2:$A$16),A1384)))&gt;0,"Positive",
IF(SUMPRODUCT(--ISNUMBER(SEARCH(TRIM(Keywords!$A$2:$B$14),A1384)))&gt;0,"Negative","Neutral")))</f>
        <v>Positive</v>
      </c>
    </row>
    <row r="1385" spans="1:3" hidden="1" x14ac:dyDescent="0.25">
      <c r="A1385" t="s">
        <v>2</v>
      </c>
      <c r="B1385">
        <v>5</v>
      </c>
      <c r="C1385" t="str">
        <f>IF(AND(SUMPRODUCT(--ISNUMBER(SEARCH(TRIM(Keywords!$A$2:$A$16),A1385)))&gt;0,
        SUMPRODUCT(--ISNUMBER(SEARCH(TRIM(Keywords!$B$2:$B$14),A1385)))&gt;0),"Neutral",
IF(SUMPRODUCT(--ISNUMBER(SEARCH(TRIM(Keywords!$A$2:$A$16),A1385)))&gt;0,"Positive",
IF(SUMPRODUCT(--ISNUMBER(SEARCH(TRIM(Keywords!$A$2:$B$14),A1385)))&gt;0,"Negative","Neutral")))</f>
        <v>Positive</v>
      </c>
    </row>
    <row r="1386" spans="1:3" hidden="1" x14ac:dyDescent="0.25">
      <c r="A1386" t="s">
        <v>701</v>
      </c>
      <c r="B1386">
        <v>1</v>
      </c>
      <c r="C1386" t="str">
        <f>IF(AND(SUMPRODUCT(--ISNUMBER(SEARCH(TRIM(Keywords!$A$2:$A$16),A1386)))&gt;0,
        SUMPRODUCT(--ISNUMBER(SEARCH(TRIM(Keywords!$B$2:$B$14),A1386)))&gt;0),"Neutral",
IF(SUMPRODUCT(--ISNUMBER(SEARCH(TRIM(Keywords!$A$2:$A$16),A1386)))&gt;0,"Positive",
IF(SUMPRODUCT(--ISNUMBER(SEARCH(TRIM(Keywords!$A$2:$B$14),A1386)))&gt;0,"Negative","Neutral")))</f>
        <v>Negative</v>
      </c>
    </row>
    <row r="1387" spans="1:3" hidden="1" x14ac:dyDescent="0.25">
      <c r="A1387" t="s">
        <v>37</v>
      </c>
      <c r="B1387">
        <v>5</v>
      </c>
      <c r="C1387" t="str">
        <f>IF(AND(SUMPRODUCT(--ISNUMBER(SEARCH(TRIM(Keywords!$A$2:$A$16),A1387)))&gt;0,
        SUMPRODUCT(--ISNUMBER(SEARCH(TRIM(Keywords!$B$2:$B$14),A1387)))&gt;0),"Neutral",
IF(SUMPRODUCT(--ISNUMBER(SEARCH(TRIM(Keywords!$A$2:$A$16),A1387)))&gt;0,"Positive",
IF(SUMPRODUCT(--ISNUMBER(SEARCH(TRIM(Keywords!$A$2:$B$14),A1387)))&gt;0,"Negative","Neutral")))</f>
        <v>Positive</v>
      </c>
    </row>
    <row r="1388" spans="1:3" hidden="1" x14ac:dyDescent="0.25">
      <c r="A1388" t="s">
        <v>702</v>
      </c>
      <c r="B1388">
        <v>4</v>
      </c>
      <c r="C1388" t="str">
        <f>IF(AND(SUMPRODUCT(--ISNUMBER(SEARCH(TRIM(Keywords!$A$2:$A$16),A1388)))&gt;0,
        SUMPRODUCT(--ISNUMBER(SEARCH(TRIM(Keywords!$B$2:$B$14),A1388)))&gt;0),"Neutral",
IF(SUMPRODUCT(--ISNUMBER(SEARCH(TRIM(Keywords!$A$2:$A$16),A1388)))&gt;0,"Positive",
IF(SUMPRODUCT(--ISNUMBER(SEARCH(TRIM(Keywords!$A$2:$B$14),A1388)))&gt;0,"Negative","Neutral")))</f>
        <v>Positive</v>
      </c>
    </row>
    <row r="1389" spans="1:3" hidden="1" x14ac:dyDescent="0.25">
      <c r="A1389" t="s">
        <v>703</v>
      </c>
      <c r="B1389">
        <v>5</v>
      </c>
      <c r="C1389" t="str">
        <f>IF(AND(SUMPRODUCT(--ISNUMBER(SEARCH(TRIM(Keywords!$A$2:$A$16),A1389)))&gt;0,
        SUMPRODUCT(--ISNUMBER(SEARCH(TRIM(Keywords!$B$2:$B$14),A1389)))&gt;0),"Neutral",
IF(SUMPRODUCT(--ISNUMBER(SEARCH(TRIM(Keywords!$A$2:$A$16),A1389)))&gt;0,"Positive",
IF(SUMPRODUCT(--ISNUMBER(SEARCH(TRIM(Keywords!$A$2:$B$14),A1389)))&gt;0,"Negative","Neutral")))</f>
        <v>Negative</v>
      </c>
    </row>
    <row r="1390" spans="1:3" hidden="1" x14ac:dyDescent="0.25">
      <c r="A1390" t="s">
        <v>2</v>
      </c>
      <c r="B1390">
        <v>4</v>
      </c>
      <c r="C1390" t="str">
        <f>IF(AND(SUMPRODUCT(--ISNUMBER(SEARCH(TRIM(Keywords!$A$2:$A$16),A1390)))&gt;0,
        SUMPRODUCT(--ISNUMBER(SEARCH(TRIM(Keywords!$B$2:$B$14),A1390)))&gt;0),"Neutral",
IF(SUMPRODUCT(--ISNUMBER(SEARCH(TRIM(Keywords!$A$2:$A$16),A1390)))&gt;0,"Positive",
IF(SUMPRODUCT(--ISNUMBER(SEARCH(TRIM(Keywords!$A$2:$B$14),A1390)))&gt;0,"Negative","Neutral")))</f>
        <v>Positive</v>
      </c>
    </row>
    <row r="1391" spans="1:3" hidden="1" x14ac:dyDescent="0.25">
      <c r="A1391" t="s">
        <v>704</v>
      </c>
      <c r="B1391">
        <v>5</v>
      </c>
      <c r="C1391" t="str">
        <f>IF(AND(SUMPRODUCT(--ISNUMBER(SEARCH(TRIM(Keywords!$A$2:$A$16),A1391)))&gt;0,
        SUMPRODUCT(--ISNUMBER(SEARCH(TRIM(Keywords!$B$2:$B$14),A1391)))&gt;0),"Neutral",
IF(SUMPRODUCT(--ISNUMBER(SEARCH(TRIM(Keywords!$A$2:$A$16),A1391)))&gt;0,"Positive",
IF(SUMPRODUCT(--ISNUMBER(SEARCH(TRIM(Keywords!$A$2:$B$14),A1391)))&gt;0,"Negative","Neutral")))</f>
        <v>Positive</v>
      </c>
    </row>
    <row r="1392" spans="1:3" hidden="1" x14ac:dyDescent="0.25">
      <c r="A1392" t="s">
        <v>2</v>
      </c>
      <c r="B1392">
        <v>5</v>
      </c>
      <c r="C1392" t="str">
        <f>IF(AND(SUMPRODUCT(--ISNUMBER(SEARCH(TRIM(Keywords!$A$2:$A$16),A1392)))&gt;0,
        SUMPRODUCT(--ISNUMBER(SEARCH(TRIM(Keywords!$B$2:$B$14),A1392)))&gt;0),"Neutral",
IF(SUMPRODUCT(--ISNUMBER(SEARCH(TRIM(Keywords!$A$2:$A$16),A1392)))&gt;0,"Positive",
IF(SUMPRODUCT(--ISNUMBER(SEARCH(TRIM(Keywords!$A$2:$B$14),A1392)))&gt;0,"Negative","Neutral")))</f>
        <v>Positive</v>
      </c>
    </row>
    <row r="1393" spans="1:3" x14ac:dyDescent="0.25">
      <c r="A1393" t="s">
        <v>705</v>
      </c>
      <c r="B1393">
        <v>1</v>
      </c>
      <c r="C1393" t="str">
        <f>IF(AND(SUMPRODUCT(--ISNUMBER(SEARCH(TRIM(Keywords!$A$2:$A$16),A1393)))&gt;0,
        SUMPRODUCT(--ISNUMBER(SEARCH(TRIM(Keywords!$B$2:$B$14),A1393)))&gt;0),"Neutral",
IF(SUMPRODUCT(--ISNUMBER(SEARCH(TRIM(Keywords!$A$2:$A$16),A1393)))&gt;0,"Positive",
IF(SUMPRODUCT(--ISNUMBER(SEARCH(TRIM(Keywords!$A$2:$B$14),A1393)))&gt;0,"Negative","Neutral")))</f>
        <v>Neutral</v>
      </c>
    </row>
    <row r="1394" spans="1:3" hidden="1" x14ac:dyDescent="0.25">
      <c r="A1394" t="s">
        <v>668</v>
      </c>
      <c r="B1394">
        <v>5</v>
      </c>
      <c r="C1394" t="str">
        <f>IF(AND(SUMPRODUCT(--ISNUMBER(SEARCH(TRIM(Keywords!$A$2:$A$16),A1394)))&gt;0,
        SUMPRODUCT(--ISNUMBER(SEARCH(TRIM(Keywords!$B$2:$B$14),A1394)))&gt;0),"Neutral",
IF(SUMPRODUCT(--ISNUMBER(SEARCH(TRIM(Keywords!$A$2:$A$16),A1394)))&gt;0,"Positive",
IF(SUMPRODUCT(--ISNUMBER(SEARCH(TRIM(Keywords!$A$2:$B$14),A1394)))&gt;0,"Negative","Neutral")))</f>
        <v>Positive</v>
      </c>
    </row>
    <row r="1395" spans="1:3" hidden="1" x14ac:dyDescent="0.25">
      <c r="A1395" t="s">
        <v>706</v>
      </c>
      <c r="B1395">
        <v>5</v>
      </c>
      <c r="C1395" t="str">
        <f>IF(AND(SUMPRODUCT(--ISNUMBER(SEARCH(TRIM(Keywords!$A$2:$A$16),A1395)))&gt;0,
        SUMPRODUCT(--ISNUMBER(SEARCH(TRIM(Keywords!$B$2:$B$14),A1395)))&gt;0),"Neutral",
IF(SUMPRODUCT(--ISNUMBER(SEARCH(TRIM(Keywords!$A$2:$A$16),A1395)))&gt;0,"Positive",
IF(SUMPRODUCT(--ISNUMBER(SEARCH(TRIM(Keywords!$A$2:$B$14),A1395)))&gt;0,"Negative","Neutral")))</f>
        <v>Positive</v>
      </c>
    </row>
    <row r="1396" spans="1:3" hidden="1" x14ac:dyDescent="0.25">
      <c r="A1396" t="s">
        <v>2</v>
      </c>
      <c r="B1396">
        <v>2</v>
      </c>
      <c r="C1396" t="str">
        <f>IF(AND(SUMPRODUCT(--ISNUMBER(SEARCH(TRIM(Keywords!$A$2:$A$16),A1396)))&gt;0,
        SUMPRODUCT(--ISNUMBER(SEARCH(TRIM(Keywords!$B$2:$B$14),A1396)))&gt;0),"Neutral",
IF(SUMPRODUCT(--ISNUMBER(SEARCH(TRIM(Keywords!$A$2:$A$16),A1396)))&gt;0,"Positive",
IF(SUMPRODUCT(--ISNUMBER(SEARCH(TRIM(Keywords!$A$2:$B$14),A1396)))&gt;0,"Negative","Neutral")))</f>
        <v>Positive</v>
      </c>
    </row>
    <row r="1397" spans="1:3" hidden="1" x14ac:dyDescent="0.25">
      <c r="A1397" t="s">
        <v>2</v>
      </c>
      <c r="B1397">
        <v>5</v>
      </c>
      <c r="C1397" t="str">
        <f>IF(AND(SUMPRODUCT(--ISNUMBER(SEARCH(TRIM(Keywords!$A$2:$A$16),A1397)))&gt;0,
        SUMPRODUCT(--ISNUMBER(SEARCH(TRIM(Keywords!$B$2:$B$14),A1397)))&gt;0),"Neutral",
IF(SUMPRODUCT(--ISNUMBER(SEARCH(TRIM(Keywords!$A$2:$A$16),A1397)))&gt;0,"Positive",
IF(SUMPRODUCT(--ISNUMBER(SEARCH(TRIM(Keywords!$A$2:$B$14),A1397)))&gt;0,"Negative","Neutral")))</f>
        <v>Positive</v>
      </c>
    </row>
    <row r="1398" spans="1:3" hidden="1" x14ac:dyDescent="0.25">
      <c r="A1398" t="s">
        <v>2</v>
      </c>
      <c r="B1398">
        <v>5</v>
      </c>
      <c r="C1398" t="str">
        <f>IF(AND(SUMPRODUCT(--ISNUMBER(SEARCH(TRIM(Keywords!$A$2:$A$16),A1398)))&gt;0,
        SUMPRODUCT(--ISNUMBER(SEARCH(TRIM(Keywords!$B$2:$B$14),A1398)))&gt;0),"Neutral",
IF(SUMPRODUCT(--ISNUMBER(SEARCH(TRIM(Keywords!$A$2:$A$16),A1398)))&gt;0,"Positive",
IF(SUMPRODUCT(--ISNUMBER(SEARCH(TRIM(Keywords!$A$2:$B$14),A1398)))&gt;0,"Negative","Neutral")))</f>
        <v>Positive</v>
      </c>
    </row>
    <row r="1399" spans="1:3" hidden="1" x14ac:dyDescent="0.25">
      <c r="A1399" t="s">
        <v>422</v>
      </c>
      <c r="B1399">
        <v>5</v>
      </c>
      <c r="C1399" t="str">
        <f>IF(AND(SUMPRODUCT(--ISNUMBER(SEARCH(TRIM(Keywords!$A$2:$A$16),A1399)))&gt;0,
        SUMPRODUCT(--ISNUMBER(SEARCH(TRIM(Keywords!$B$2:$B$14),A1399)))&gt;0),"Neutral",
IF(SUMPRODUCT(--ISNUMBER(SEARCH(TRIM(Keywords!$A$2:$A$16),A1399)))&gt;0,"Positive",
IF(SUMPRODUCT(--ISNUMBER(SEARCH(TRIM(Keywords!$A$2:$B$14),A1399)))&gt;0,"Negative","Neutral")))</f>
        <v>Positive</v>
      </c>
    </row>
    <row r="1400" spans="1:3" hidden="1" x14ac:dyDescent="0.25">
      <c r="A1400" t="s">
        <v>37</v>
      </c>
      <c r="B1400">
        <v>5</v>
      </c>
      <c r="C1400" t="str">
        <f>IF(AND(SUMPRODUCT(--ISNUMBER(SEARCH(TRIM(Keywords!$A$2:$A$16),A1400)))&gt;0,
        SUMPRODUCT(--ISNUMBER(SEARCH(TRIM(Keywords!$B$2:$B$14),A1400)))&gt;0),"Neutral",
IF(SUMPRODUCT(--ISNUMBER(SEARCH(TRIM(Keywords!$A$2:$A$16),A1400)))&gt;0,"Positive",
IF(SUMPRODUCT(--ISNUMBER(SEARCH(TRIM(Keywords!$A$2:$B$14),A1400)))&gt;0,"Negative","Neutral")))</f>
        <v>Positive</v>
      </c>
    </row>
    <row r="1401" spans="1:3" hidden="1" x14ac:dyDescent="0.25">
      <c r="A1401" t="s">
        <v>72</v>
      </c>
      <c r="B1401">
        <v>5</v>
      </c>
      <c r="C1401" t="str">
        <f>IF(AND(SUMPRODUCT(--ISNUMBER(SEARCH(TRIM(Keywords!$A$2:$A$16),A1401)))&gt;0,
        SUMPRODUCT(--ISNUMBER(SEARCH(TRIM(Keywords!$B$2:$B$14),A1401)))&gt;0),"Neutral",
IF(SUMPRODUCT(--ISNUMBER(SEARCH(TRIM(Keywords!$A$2:$A$16),A1401)))&gt;0,"Positive",
IF(SUMPRODUCT(--ISNUMBER(SEARCH(TRIM(Keywords!$A$2:$B$14),A1401)))&gt;0,"Negative","Neutral")))</f>
        <v>Positive</v>
      </c>
    </row>
    <row r="1402" spans="1:3" hidden="1" x14ac:dyDescent="0.25">
      <c r="A1402" t="s">
        <v>2</v>
      </c>
      <c r="B1402">
        <v>5</v>
      </c>
      <c r="C1402" t="str">
        <f>IF(AND(SUMPRODUCT(--ISNUMBER(SEARCH(TRIM(Keywords!$A$2:$A$16),A1402)))&gt;0,
        SUMPRODUCT(--ISNUMBER(SEARCH(TRIM(Keywords!$B$2:$B$14),A1402)))&gt;0),"Neutral",
IF(SUMPRODUCT(--ISNUMBER(SEARCH(TRIM(Keywords!$A$2:$A$16),A1402)))&gt;0,"Positive",
IF(SUMPRODUCT(--ISNUMBER(SEARCH(TRIM(Keywords!$A$2:$B$14),A1402)))&gt;0,"Negative","Neutral")))</f>
        <v>Positive</v>
      </c>
    </row>
    <row r="1403" spans="1:3" hidden="1" x14ac:dyDescent="0.25">
      <c r="A1403" t="s">
        <v>2</v>
      </c>
      <c r="B1403">
        <v>3</v>
      </c>
      <c r="C1403" t="str">
        <f>IF(AND(SUMPRODUCT(--ISNUMBER(SEARCH(TRIM(Keywords!$A$2:$A$16),A1403)))&gt;0,
        SUMPRODUCT(--ISNUMBER(SEARCH(TRIM(Keywords!$B$2:$B$14),A1403)))&gt;0),"Neutral",
IF(SUMPRODUCT(--ISNUMBER(SEARCH(TRIM(Keywords!$A$2:$A$16),A1403)))&gt;0,"Positive",
IF(SUMPRODUCT(--ISNUMBER(SEARCH(TRIM(Keywords!$A$2:$B$14),A1403)))&gt;0,"Negative","Neutral")))</f>
        <v>Positive</v>
      </c>
    </row>
    <row r="1404" spans="1:3" hidden="1" x14ac:dyDescent="0.25">
      <c r="A1404" t="s">
        <v>39</v>
      </c>
      <c r="B1404">
        <v>5</v>
      </c>
      <c r="C1404" t="str">
        <f>IF(AND(SUMPRODUCT(--ISNUMBER(SEARCH(TRIM(Keywords!$A$2:$A$16),A1404)))&gt;0,
        SUMPRODUCT(--ISNUMBER(SEARCH(TRIM(Keywords!$B$2:$B$14),A1404)))&gt;0),"Neutral",
IF(SUMPRODUCT(--ISNUMBER(SEARCH(TRIM(Keywords!$A$2:$A$16),A1404)))&gt;0,"Positive",
IF(SUMPRODUCT(--ISNUMBER(SEARCH(TRIM(Keywords!$A$2:$B$14),A1404)))&gt;0,"Negative","Neutral")))</f>
        <v>Positive</v>
      </c>
    </row>
    <row r="1405" spans="1:3" hidden="1" x14ac:dyDescent="0.25">
      <c r="A1405" t="s">
        <v>707</v>
      </c>
      <c r="B1405">
        <v>3</v>
      </c>
      <c r="C1405" t="str">
        <f>IF(AND(SUMPRODUCT(--ISNUMBER(SEARCH(TRIM(Keywords!$A$2:$A$16),A1405)))&gt;0,
        SUMPRODUCT(--ISNUMBER(SEARCH(TRIM(Keywords!$B$2:$B$14),A1405)))&gt;0),"Neutral",
IF(SUMPRODUCT(--ISNUMBER(SEARCH(TRIM(Keywords!$A$2:$A$16),A1405)))&gt;0,"Positive",
IF(SUMPRODUCT(--ISNUMBER(SEARCH(TRIM(Keywords!$A$2:$B$14),A1405)))&gt;0,"Negative","Neutral")))</f>
        <v>Positive</v>
      </c>
    </row>
    <row r="1406" spans="1:3" hidden="1" x14ac:dyDescent="0.25">
      <c r="A1406" t="s">
        <v>2</v>
      </c>
      <c r="B1406">
        <v>5</v>
      </c>
      <c r="C1406" t="str">
        <f>IF(AND(SUMPRODUCT(--ISNUMBER(SEARCH(TRIM(Keywords!$A$2:$A$16),A1406)))&gt;0,
        SUMPRODUCT(--ISNUMBER(SEARCH(TRIM(Keywords!$B$2:$B$14),A1406)))&gt;0),"Neutral",
IF(SUMPRODUCT(--ISNUMBER(SEARCH(TRIM(Keywords!$A$2:$A$16),A1406)))&gt;0,"Positive",
IF(SUMPRODUCT(--ISNUMBER(SEARCH(TRIM(Keywords!$A$2:$B$14),A1406)))&gt;0,"Negative","Neutral")))</f>
        <v>Positive</v>
      </c>
    </row>
    <row r="1407" spans="1:3" hidden="1" x14ac:dyDescent="0.25">
      <c r="A1407" t="s">
        <v>708</v>
      </c>
      <c r="B1407">
        <v>5</v>
      </c>
      <c r="C1407" t="str">
        <f>IF(AND(SUMPRODUCT(--ISNUMBER(SEARCH(TRIM(Keywords!$A$2:$A$16),A1407)))&gt;0,
        SUMPRODUCT(--ISNUMBER(SEARCH(TRIM(Keywords!$B$2:$B$14),A1407)))&gt;0),"Neutral",
IF(SUMPRODUCT(--ISNUMBER(SEARCH(TRIM(Keywords!$A$2:$A$16),A1407)))&gt;0,"Positive",
IF(SUMPRODUCT(--ISNUMBER(SEARCH(TRIM(Keywords!$A$2:$B$14),A1407)))&gt;0,"Negative","Neutral")))</f>
        <v>Positive</v>
      </c>
    </row>
    <row r="1408" spans="1:3" x14ac:dyDescent="0.25">
      <c r="A1408" t="s">
        <v>709</v>
      </c>
      <c r="B1408">
        <v>1</v>
      </c>
      <c r="C1408" t="str">
        <f>IF(AND(SUMPRODUCT(--ISNUMBER(SEARCH(TRIM(Keywords!$A$2:$A$16),A1408)))&gt;0,
        SUMPRODUCT(--ISNUMBER(SEARCH(TRIM(Keywords!$B$2:$B$14),A1408)))&gt;0),"Neutral",
IF(SUMPRODUCT(--ISNUMBER(SEARCH(TRIM(Keywords!$A$2:$A$16),A1408)))&gt;0,"Positive",
IF(SUMPRODUCT(--ISNUMBER(SEARCH(TRIM(Keywords!$A$2:$B$14),A1408)))&gt;0,"Negative","Neutral")))</f>
        <v>Neutral</v>
      </c>
    </row>
    <row r="1409" spans="1:3" hidden="1" x14ac:dyDescent="0.25">
      <c r="A1409" t="s">
        <v>37</v>
      </c>
      <c r="B1409">
        <v>5</v>
      </c>
      <c r="C1409" t="str">
        <f>IF(AND(SUMPRODUCT(--ISNUMBER(SEARCH(TRIM(Keywords!$A$2:$A$16),A1409)))&gt;0,
        SUMPRODUCT(--ISNUMBER(SEARCH(TRIM(Keywords!$B$2:$B$14),A1409)))&gt;0),"Neutral",
IF(SUMPRODUCT(--ISNUMBER(SEARCH(TRIM(Keywords!$A$2:$A$16),A1409)))&gt;0,"Positive",
IF(SUMPRODUCT(--ISNUMBER(SEARCH(TRIM(Keywords!$A$2:$B$14),A1409)))&gt;0,"Negative","Neutral")))</f>
        <v>Positive</v>
      </c>
    </row>
    <row r="1410" spans="1:3" x14ac:dyDescent="0.25">
      <c r="A1410" t="s">
        <v>710</v>
      </c>
      <c r="B1410">
        <v>3</v>
      </c>
      <c r="C1410" t="str">
        <f>IF(AND(SUMPRODUCT(--ISNUMBER(SEARCH(TRIM(Keywords!$A$2:$A$16),A1410)))&gt;0,
        SUMPRODUCT(--ISNUMBER(SEARCH(TRIM(Keywords!$B$2:$B$14),A1410)))&gt;0),"Neutral",
IF(SUMPRODUCT(--ISNUMBER(SEARCH(TRIM(Keywords!$A$2:$A$16),A1410)))&gt;0,"Positive",
IF(SUMPRODUCT(--ISNUMBER(SEARCH(TRIM(Keywords!$A$2:$B$14),A1410)))&gt;0,"Negative","Neutral")))</f>
        <v>Neutral</v>
      </c>
    </row>
    <row r="1411" spans="1:3" hidden="1" x14ac:dyDescent="0.25">
      <c r="A1411" t="s">
        <v>711</v>
      </c>
      <c r="B1411">
        <v>1</v>
      </c>
      <c r="C1411" t="str">
        <f>IF(AND(SUMPRODUCT(--ISNUMBER(SEARCH(TRIM(Keywords!$A$2:$A$16),A1411)))&gt;0,
        SUMPRODUCT(--ISNUMBER(SEARCH(TRIM(Keywords!$B$2:$B$14),A1411)))&gt;0),"Neutral",
IF(SUMPRODUCT(--ISNUMBER(SEARCH(TRIM(Keywords!$A$2:$A$16),A1411)))&gt;0,"Positive",
IF(SUMPRODUCT(--ISNUMBER(SEARCH(TRIM(Keywords!$A$2:$B$14),A1411)))&gt;0,"Negative","Neutral")))</f>
        <v>Negative</v>
      </c>
    </row>
    <row r="1412" spans="1:3" hidden="1" x14ac:dyDescent="0.25">
      <c r="A1412" t="s">
        <v>38</v>
      </c>
      <c r="B1412">
        <v>5</v>
      </c>
      <c r="C1412" t="str">
        <f>IF(AND(SUMPRODUCT(--ISNUMBER(SEARCH(TRIM(Keywords!$A$2:$A$16),A1412)))&gt;0,
        SUMPRODUCT(--ISNUMBER(SEARCH(TRIM(Keywords!$B$2:$B$14),A1412)))&gt;0),"Neutral",
IF(SUMPRODUCT(--ISNUMBER(SEARCH(TRIM(Keywords!$A$2:$A$16),A1412)))&gt;0,"Positive",
IF(SUMPRODUCT(--ISNUMBER(SEARCH(TRIM(Keywords!$A$2:$B$14),A1412)))&gt;0,"Negative","Neutral")))</f>
        <v>Positive</v>
      </c>
    </row>
    <row r="1413" spans="1:3" hidden="1" x14ac:dyDescent="0.25">
      <c r="A1413" t="s">
        <v>712</v>
      </c>
      <c r="B1413">
        <v>5</v>
      </c>
      <c r="C1413" t="str">
        <f>IF(AND(SUMPRODUCT(--ISNUMBER(SEARCH(TRIM(Keywords!$A$2:$A$16),A1413)))&gt;0,
        SUMPRODUCT(--ISNUMBER(SEARCH(TRIM(Keywords!$B$2:$B$14),A1413)))&gt;0),"Neutral",
IF(SUMPRODUCT(--ISNUMBER(SEARCH(TRIM(Keywords!$A$2:$A$16),A1413)))&gt;0,"Positive",
IF(SUMPRODUCT(--ISNUMBER(SEARCH(TRIM(Keywords!$A$2:$B$14),A1413)))&gt;0,"Negative","Neutral")))</f>
        <v>Positive</v>
      </c>
    </row>
    <row r="1414" spans="1:3" x14ac:dyDescent="0.25">
      <c r="A1414" t="s">
        <v>64</v>
      </c>
      <c r="B1414">
        <v>3</v>
      </c>
      <c r="C1414" t="str">
        <f>IF(AND(SUMPRODUCT(--ISNUMBER(SEARCH(TRIM(Keywords!$A$2:$A$16),A1414)))&gt;0,
        SUMPRODUCT(--ISNUMBER(SEARCH(TRIM(Keywords!$B$2:$B$14),A1414)))&gt;0),"Neutral",
IF(SUMPRODUCT(--ISNUMBER(SEARCH(TRIM(Keywords!$A$2:$A$16),A1414)))&gt;0,"Positive",
IF(SUMPRODUCT(--ISNUMBER(SEARCH(TRIM(Keywords!$A$2:$B$14),A1414)))&gt;0,"Negative","Neutral")))</f>
        <v>Neutral</v>
      </c>
    </row>
    <row r="1415" spans="1:3" hidden="1" x14ac:dyDescent="0.25">
      <c r="A1415" t="s">
        <v>2</v>
      </c>
      <c r="B1415">
        <v>5</v>
      </c>
      <c r="C1415" t="str">
        <f>IF(AND(SUMPRODUCT(--ISNUMBER(SEARCH(TRIM(Keywords!$A$2:$A$16),A1415)))&gt;0,
        SUMPRODUCT(--ISNUMBER(SEARCH(TRIM(Keywords!$B$2:$B$14),A1415)))&gt;0),"Neutral",
IF(SUMPRODUCT(--ISNUMBER(SEARCH(TRIM(Keywords!$A$2:$A$16),A1415)))&gt;0,"Positive",
IF(SUMPRODUCT(--ISNUMBER(SEARCH(TRIM(Keywords!$A$2:$B$14),A1415)))&gt;0,"Negative","Neutral")))</f>
        <v>Positive</v>
      </c>
    </row>
    <row r="1416" spans="1:3" hidden="1" x14ac:dyDescent="0.25">
      <c r="A1416" t="s">
        <v>37</v>
      </c>
      <c r="B1416">
        <v>1</v>
      </c>
      <c r="C1416" t="str">
        <f>IF(AND(SUMPRODUCT(--ISNUMBER(SEARCH(TRIM(Keywords!$A$2:$A$16),A1416)))&gt;0,
        SUMPRODUCT(--ISNUMBER(SEARCH(TRIM(Keywords!$B$2:$B$14),A1416)))&gt;0),"Neutral",
IF(SUMPRODUCT(--ISNUMBER(SEARCH(TRIM(Keywords!$A$2:$A$16),A1416)))&gt;0,"Positive",
IF(SUMPRODUCT(--ISNUMBER(SEARCH(TRIM(Keywords!$A$2:$B$14),A1416)))&gt;0,"Negative","Neutral")))</f>
        <v>Positive</v>
      </c>
    </row>
    <row r="1417" spans="1:3" hidden="1" x14ac:dyDescent="0.25">
      <c r="A1417" t="s">
        <v>2</v>
      </c>
      <c r="B1417">
        <v>5</v>
      </c>
      <c r="C1417" t="str">
        <f>IF(AND(SUMPRODUCT(--ISNUMBER(SEARCH(TRIM(Keywords!$A$2:$A$16),A1417)))&gt;0,
        SUMPRODUCT(--ISNUMBER(SEARCH(TRIM(Keywords!$B$2:$B$14),A1417)))&gt;0),"Neutral",
IF(SUMPRODUCT(--ISNUMBER(SEARCH(TRIM(Keywords!$A$2:$A$16),A1417)))&gt;0,"Positive",
IF(SUMPRODUCT(--ISNUMBER(SEARCH(TRIM(Keywords!$A$2:$B$14),A1417)))&gt;0,"Negative","Neutral")))</f>
        <v>Positive</v>
      </c>
    </row>
    <row r="1418" spans="1:3" x14ac:dyDescent="0.25">
      <c r="A1418" t="s">
        <v>713</v>
      </c>
      <c r="B1418">
        <v>1</v>
      </c>
      <c r="C1418" t="str">
        <f>IF(AND(SUMPRODUCT(--ISNUMBER(SEARCH(TRIM(Keywords!$A$2:$A$16),A1418)))&gt;0,
        SUMPRODUCT(--ISNUMBER(SEARCH(TRIM(Keywords!$B$2:$B$14),A1418)))&gt;0),"Neutral",
IF(SUMPRODUCT(--ISNUMBER(SEARCH(TRIM(Keywords!$A$2:$A$16),A1418)))&gt;0,"Positive",
IF(SUMPRODUCT(--ISNUMBER(SEARCH(TRIM(Keywords!$A$2:$B$14),A1418)))&gt;0,"Negative","Neutral")))</f>
        <v>Neutral</v>
      </c>
    </row>
    <row r="1419" spans="1:3" hidden="1" x14ac:dyDescent="0.25">
      <c r="A1419" t="s">
        <v>2</v>
      </c>
      <c r="B1419">
        <v>4</v>
      </c>
      <c r="C1419" t="str">
        <f>IF(AND(SUMPRODUCT(--ISNUMBER(SEARCH(TRIM(Keywords!$A$2:$A$16),A1419)))&gt;0,
        SUMPRODUCT(--ISNUMBER(SEARCH(TRIM(Keywords!$B$2:$B$14),A1419)))&gt;0),"Neutral",
IF(SUMPRODUCT(--ISNUMBER(SEARCH(TRIM(Keywords!$A$2:$A$16),A1419)))&gt;0,"Positive",
IF(SUMPRODUCT(--ISNUMBER(SEARCH(TRIM(Keywords!$A$2:$B$14),A1419)))&gt;0,"Negative","Neutral")))</f>
        <v>Positive</v>
      </c>
    </row>
    <row r="1420" spans="1:3" hidden="1" x14ac:dyDescent="0.25">
      <c r="A1420" t="s">
        <v>37</v>
      </c>
      <c r="B1420">
        <v>5</v>
      </c>
      <c r="C1420" t="str">
        <f>IF(AND(SUMPRODUCT(--ISNUMBER(SEARCH(TRIM(Keywords!$A$2:$A$16),A1420)))&gt;0,
        SUMPRODUCT(--ISNUMBER(SEARCH(TRIM(Keywords!$B$2:$B$14),A1420)))&gt;0),"Neutral",
IF(SUMPRODUCT(--ISNUMBER(SEARCH(TRIM(Keywords!$A$2:$A$16),A1420)))&gt;0,"Positive",
IF(SUMPRODUCT(--ISNUMBER(SEARCH(TRIM(Keywords!$A$2:$B$14),A1420)))&gt;0,"Negative","Neutral")))</f>
        <v>Positive</v>
      </c>
    </row>
    <row r="1421" spans="1:3" hidden="1" x14ac:dyDescent="0.25">
      <c r="A1421" t="s">
        <v>38</v>
      </c>
      <c r="B1421">
        <v>5</v>
      </c>
      <c r="C1421" t="str">
        <f>IF(AND(SUMPRODUCT(--ISNUMBER(SEARCH(TRIM(Keywords!$A$2:$A$16),A1421)))&gt;0,
        SUMPRODUCT(--ISNUMBER(SEARCH(TRIM(Keywords!$B$2:$B$14),A1421)))&gt;0),"Neutral",
IF(SUMPRODUCT(--ISNUMBER(SEARCH(TRIM(Keywords!$A$2:$A$16),A1421)))&gt;0,"Positive",
IF(SUMPRODUCT(--ISNUMBER(SEARCH(TRIM(Keywords!$A$2:$B$14),A1421)))&gt;0,"Negative","Neutral")))</f>
        <v>Positive</v>
      </c>
    </row>
    <row r="1422" spans="1:3" x14ac:dyDescent="0.25">
      <c r="A1422" t="s">
        <v>64</v>
      </c>
      <c r="B1422">
        <v>5</v>
      </c>
      <c r="C1422" t="str">
        <f>IF(AND(SUMPRODUCT(--ISNUMBER(SEARCH(TRIM(Keywords!$A$2:$A$16),A1422)))&gt;0,
        SUMPRODUCT(--ISNUMBER(SEARCH(TRIM(Keywords!$B$2:$B$14),A1422)))&gt;0),"Neutral",
IF(SUMPRODUCT(--ISNUMBER(SEARCH(TRIM(Keywords!$A$2:$A$16),A1422)))&gt;0,"Positive",
IF(SUMPRODUCT(--ISNUMBER(SEARCH(TRIM(Keywords!$A$2:$B$14),A1422)))&gt;0,"Negative","Neutral")))</f>
        <v>Neutral</v>
      </c>
    </row>
    <row r="1423" spans="1:3" x14ac:dyDescent="0.25">
      <c r="A1423" t="s">
        <v>36</v>
      </c>
      <c r="B1423">
        <v>5</v>
      </c>
      <c r="C1423" t="str">
        <f>IF(AND(SUMPRODUCT(--ISNUMBER(SEARCH(TRIM(Keywords!$A$2:$A$16),A1423)))&gt;0,
        SUMPRODUCT(--ISNUMBER(SEARCH(TRIM(Keywords!$B$2:$B$14),A1423)))&gt;0),"Neutral",
IF(SUMPRODUCT(--ISNUMBER(SEARCH(TRIM(Keywords!$A$2:$A$16),A1423)))&gt;0,"Positive",
IF(SUMPRODUCT(--ISNUMBER(SEARCH(TRIM(Keywords!$A$2:$B$14),A1423)))&gt;0,"Negative","Neutral")))</f>
        <v>Neutral</v>
      </c>
    </row>
    <row r="1424" spans="1:3" hidden="1" x14ac:dyDescent="0.25">
      <c r="A1424" t="s">
        <v>2</v>
      </c>
      <c r="B1424">
        <v>5</v>
      </c>
      <c r="C1424" t="str">
        <f>IF(AND(SUMPRODUCT(--ISNUMBER(SEARCH(TRIM(Keywords!$A$2:$A$16),A1424)))&gt;0,
        SUMPRODUCT(--ISNUMBER(SEARCH(TRIM(Keywords!$B$2:$B$14),A1424)))&gt;0),"Neutral",
IF(SUMPRODUCT(--ISNUMBER(SEARCH(TRIM(Keywords!$A$2:$A$16),A1424)))&gt;0,"Positive",
IF(SUMPRODUCT(--ISNUMBER(SEARCH(TRIM(Keywords!$A$2:$B$14),A1424)))&gt;0,"Negative","Neutral")))</f>
        <v>Positive</v>
      </c>
    </row>
    <row r="1425" spans="1:3" hidden="1" x14ac:dyDescent="0.25">
      <c r="A1425" t="s">
        <v>714</v>
      </c>
      <c r="B1425">
        <v>5</v>
      </c>
      <c r="C1425" t="str">
        <f>IF(AND(SUMPRODUCT(--ISNUMBER(SEARCH(TRIM(Keywords!$A$2:$A$16),A1425)))&gt;0,
        SUMPRODUCT(--ISNUMBER(SEARCH(TRIM(Keywords!$B$2:$B$14),A1425)))&gt;0),"Neutral",
IF(SUMPRODUCT(--ISNUMBER(SEARCH(TRIM(Keywords!$A$2:$A$16),A1425)))&gt;0,"Positive",
IF(SUMPRODUCT(--ISNUMBER(SEARCH(TRIM(Keywords!$A$2:$B$14),A1425)))&gt;0,"Negative","Neutral")))</f>
        <v>Positive</v>
      </c>
    </row>
    <row r="1426" spans="1:3" hidden="1" x14ac:dyDescent="0.25">
      <c r="A1426" t="s">
        <v>715</v>
      </c>
      <c r="B1426">
        <v>5</v>
      </c>
      <c r="C1426" t="str">
        <f>IF(AND(SUMPRODUCT(--ISNUMBER(SEARCH(TRIM(Keywords!$A$2:$A$16),A1426)))&gt;0,
        SUMPRODUCT(--ISNUMBER(SEARCH(TRIM(Keywords!$B$2:$B$14),A1426)))&gt;0),"Neutral",
IF(SUMPRODUCT(--ISNUMBER(SEARCH(TRIM(Keywords!$A$2:$A$16),A1426)))&gt;0,"Positive",
IF(SUMPRODUCT(--ISNUMBER(SEARCH(TRIM(Keywords!$A$2:$B$14),A1426)))&gt;0,"Negative","Neutral")))</f>
        <v>Positive</v>
      </c>
    </row>
    <row r="1427" spans="1:3" x14ac:dyDescent="0.25">
      <c r="A1427" t="s">
        <v>716</v>
      </c>
      <c r="B1427">
        <v>5</v>
      </c>
      <c r="C1427" t="str">
        <f>IF(AND(SUMPRODUCT(--ISNUMBER(SEARCH(TRIM(Keywords!$A$2:$A$16),A1427)))&gt;0,
        SUMPRODUCT(--ISNUMBER(SEARCH(TRIM(Keywords!$B$2:$B$14),A1427)))&gt;0),"Neutral",
IF(SUMPRODUCT(--ISNUMBER(SEARCH(TRIM(Keywords!$A$2:$A$16),A1427)))&gt;0,"Positive",
IF(SUMPRODUCT(--ISNUMBER(SEARCH(TRIM(Keywords!$A$2:$B$14),A1427)))&gt;0,"Negative","Neutral")))</f>
        <v>Neutral</v>
      </c>
    </row>
    <row r="1428" spans="1:3" hidden="1" x14ac:dyDescent="0.25">
      <c r="A1428" t="s">
        <v>2</v>
      </c>
      <c r="B1428">
        <v>4</v>
      </c>
      <c r="C1428" t="str">
        <f>IF(AND(SUMPRODUCT(--ISNUMBER(SEARCH(TRIM(Keywords!$A$2:$A$16),A1428)))&gt;0,
        SUMPRODUCT(--ISNUMBER(SEARCH(TRIM(Keywords!$B$2:$B$14),A1428)))&gt;0),"Neutral",
IF(SUMPRODUCT(--ISNUMBER(SEARCH(TRIM(Keywords!$A$2:$A$16),A1428)))&gt;0,"Positive",
IF(SUMPRODUCT(--ISNUMBER(SEARCH(TRIM(Keywords!$A$2:$B$14),A1428)))&gt;0,"Negative","Neutral")))</f>
        <v>Positive</v>
      </c>
    </row>
    <row r="1429" spans="1:3" hidden="1" x14ac:dyDescent="0.25">
      <c r="A1429" t="s">
        <v>717</v>
      </c>
      <c r="B1429">
        <v>5</v>
      </c>
      <c r="C1429" t="str">
        <f>IF(AND(SUMPRODUCT(--ISNUMBER(SEARCH(TRIM(Keywords!$A$2:$A$16),A1429)))&gt;0,
        SUMPRODUCT(--ISNUMBER(SEARCH(TRIM(Keywords!$B$2:$B$14),A1429)))&gt;0),"Neutral",
IF(SUMPRODUCT(--ISNUMBER(SEARCH(TRIM(Keywords!$A$2:$A$16),A1429)))&gt;0,"Positive",
IF(SUMPRODUCT(--ISNUMBER(SEARCH(TRIM(Keywords!$A$2:$B$14),A1429)))&gt;0,"Negative","Neutral")))</f>
        <v>Negative</v>
      </c>
    </row>
    <row r="1430" spans="1:3" hidden="1" x14ac:dyDescent="0.25">
      <c r="A1430" t="s">
        <v>718</v>
      </c>
      <c r="B1430">
        <v>1</v>
      </c>
      <c r="C1430" t="str">
        <f>IF(AND(SUMPRODUCT(--ISNUMBER(SEARCH(TRIM(Keywords!$A$2:$A$16),A1430)))&gt;0,
        SUMPRODUCT(--ISNUMBER(SEARCH(TRIM(Keywords!$B$2:$B$14),A1430)))&gt;0),"Neutral",
IF(SUMPRODUCT(--ISNUMBER(SEARCH(TRIM(Keywords!$A$2:$A$16),A1430)))&gt;0,"Positive",
IF(SUMPRODUCT(--ISNUMBER(SEARCH(TRIM(Keywords!$A$2:$B$14),A1430)))&gt;0,"Negative","Neutral")))</f>
        <v>Negative</v>
      </c>
    </row>
    <row r="1431" spans="1:3" hidden="1" x14ac:dyDescent="0.25">
      <c r="A1431" t="s">
        <v>719</v>
      </c>
      <c r="B1431">
        <v>1</v>
      </c>
      <c r="C1431" t="str">
        <f>IF(AND(SUMPRODUCT(--ISNUMBER(SEARCH(TRIM(Keywords!$A$2:$A$16),A1431)))&gt;0,
        SUMPRODUCT(--ISNUMBER(SEARCH(TRIM(Keywords!$B$2:$B$14),A1431)))&gt;0),"Neutral",
IF(SUMPRODUCT(--ISNUMBER(SEARCH(TRIM(Keywords!$A$2:$A$16),A1431)))&gt;0,"Positive",
IF(SUMPRODUCT(--ISNUMBER(SEARCH(TRIM(Keywords!$A$2:$B$14),A1431)))&gt;0,"Negative","Neutral")))</f>
        <v>Negative</v>
      </c>
    </row>
    <row r="1432" spans="1:3" hidden="1" x14ac:dyDescent="0.25">
      <c r="A1432" t="s">
        <v>38</v>
      </c>
      <c r="B1432">
        <v>5</v>
      </c>
      <c r="C1432" t="str">
        <f>IF(AND(SUMPRODUCT(--ISNUMBER(SEARCH(TRIM(Keywords!$A$2:$A$16),A1432)))&gt;0,
        SUMPRODUCT(--ISNUMBER(SEARCH(TRIM(Keywords!$B$2:$B$14),A1432)))&gt;0),"Neutral",
IF(SUMPRODUCT(--ISNUMBER(SEARCH(TRIM(Keywords!$A$2:$A$16),A1432)))&gt;0,"Positive",
IF(SUMPRODUCT(--ISNUMBER(SEARCH(TRIM(Keywords!$A$2:$B$14),A1432)))&gt;0,"Negative","Neutral")))</f>
        <v>Positive</v>
      </c>
    </row>
    <row r="1433" spans="1:3" hidden="1" x14ac:dyDescent="0.25">
      <c r="A1433" t="s">
        <v>720</v>
      </c>
      <c r="B1433">
        <v>1</v>
      </c>
      <c r="C1433" t="str">
        <f>IF(AND(SUMPRODUCT(--ISNUMBER(SEARCH(TRIM(Keywords!$A$2:$A$16),A1433)))&gt;0,
        SUMPRODUCT(--ISNUMBER(SEARCH(TRIM(Keywords!$B$2:$B$14),A1433)))&gt;0),"Neutral",
IF(SUMPRODUCT(--ISNUMBER(SEARCH(TRIM(Keywords!$A$2:$A$16),A1433)))&gt;0,"Positive",
IF(SUMPRODUCT(--ISNUMBER(SEARCH(TRIM(Keywords!$A$2:$B$14),A1433)))&gt;0,"Negative","Neutral")))</f>
        <v>Positive</v>
      </c>
    </row>
    <row r="1434" spans="1:3" x14ac:dyDescent="0.25">
      <c r="A1434" t="s">
        <v>721</v>
      </c>
      <c r="B1434">
        <v>1</v>
      </c>
      <c r="C1434" t="str">
        <f>IF(AND(SUMPRODUCT(--ISNUMBER(SEARCH(TRIM(Keywords!$A$2:$A$16),A1434)))&gt;0,
        SUMPRODUCT(--ISNUMBER(SEARCH(TRIM(Keywords!$B$2:$B$14),A1434)))&gt;0),"Neutral",
IF(SUMPRODUCT(--ISNUMBER(SEARCH(TRIM(Keywords!$A$2:$A$16),A1434)))&gt;0,"Positive",
IF(SUMPRODUCT(--ISNUMBER(SEARCH(TRIM(Keywords!$A$2:$B$14),A1434)))&gt;0,"Negative","Neutral")))</f>
        <v>Neutral</v>
      </c>
    </row>
    <row r="1435" spans="1:3" x14ac:dyDescent="0.25">
      <c r="A1435" t="s">
        <v>36</v>
      </c>
      <c r="B1435">
        <v>3</v>
      </c>
      <c r="C1435" t="str">
        <f>IF(AND(SUMPRODUCT(--ISNUMBER(SEARCH(TRIM(Keywords!$A$2:$A$16),A1435)))&gt;0,
        SUMPRODUCT(--ISNUMBER(SEARCH(TRIM(Keywords!$B$2:$B$14),A1435)))&gt;0),"Neutral",
IF(SUMPRODUCT(--ISNUMBER(SEARCH(TRIM(Keywords!$A$2:$A$16),A1435)))&gt;0,"Positive",
IF(SUMPRODUCT(--ISNUMBER(SEARCH(TRIM(Keywords!$A$2:$B$14),A1435)))&gt;0,"Negative","Neutral")))</f>
        <v>Neutral</v>
      </c>
    </row>
    <row r="1436" spans="1:3" x14ac:dyDescent="0.25">
      <c r="A1436" t="s">
        <v>36</v>
      </c>
      <c r="B1436">
        <v>3</v>
      </c>
      <c r="C1436" t="str">
        <f>IF(AND(SUMPRODUCT(--ISNUMBER(SEARCH(TRIM(Keywords!$A$2:$A$16),A1436)))&gt;0,
        SUMPRODUCT(--ISNUMBER(SEARCH(TRIM(Keywords!$B$2:$B$14),A1436)))&gt;0),"Neutral",
IF(SUMPRODUCT(--ISNUMBER(SEARCH(TRIM(Keywords!$A$2:$A$16),A1436)))&gt;0,"Positive",
IF(SUMPRODUCT(--ISNUMBER(SEARCH(TRIM(Keywords!$A$2:$B$14),A1436)))&gt;0,"Negative","Neutral")))</f>
        <v>Neutral</v>
      </c>
    </row>
    <row r="1437" spans="1:3" hidden="1" x14ac:dyDescent="0.25">
      <c r="A1437" t="s">
        <v>37</v>
      </c>
      <c r="B1437">
        <v>5</v>
      </c>
      <c r="C1437" t="str">
        <f>IF(AND(SUMPRODUCT(--ISNUMBER(SEARCH(TRIM(Keywords!$A$2:$A$16),A1437)))&gt;0,
        SUMPRODUCT(--ISNUMBER(SEARCH(TRIM(Keywords!$B$2:$B$14),A1437)))&gt;0),"Neutral",
IF(SUMPRODUCT(--ISNUMBER(SEARCH(TRIM(Keywords!$A$2:$A$16),A1437)))&gt;0,"Positive",
IF(SUMPRODUCT(--ISNUMBER(SEARCH(TRIM(Keywords!$A$2:$B$14),A1437)))&gt;0,"Negative","Neutral")))</f>
        <v>Positive</v>
      </c>
    </row>
    <row r="1438" spans="1:3" hidden="1" x14ac:dyDescent="0.25">
      <c r="A1438" t="s">
        <v>2</v>
      </c>
      <c r="B1438">
        <v>5</v>
      </c>
      <c r="C1438" t="str">
        <f>IF(AND(SUMPRODUCT(--ISNUMBER(SEARCH(TRIM(Keywords!$A$2:$A$16),A1438)))&gt;0,
        SUMPRODUCT(--ISNUMBER(SEARCH(TRIM(Keywords!$B$2:$B$14),A1438)))&gt;0),"Neutral",
IF(SUMPRODUCT(--ISNUMBER(SEARCH(TRIM(Keywords!$A$2:$A$16),A1438)))&gt;0,"Positive",
IF(SUMPRODUCT(--ISNUMBER(SEARCH(TRIM(Keywords!$A$2:$B$14),A1438)))&gt;0,"Negative","Neutral")))</f>
        <v>Positive</v>
      </c>
    </row>
    <row r="1439" spans="1:3" x14ac:dyDescent="0.25">
      <c r="A1439" t="s">
        <v>722</v>
      </c>
      <c r="B1439">
        <v>5</v>
      </c>
      <c r="C1439" t="str">
        <f>IF(AND(SUMPRODUCT(--ISNUMBER(SEARCH(TRIM(Keywords!$A$2:$A$16),A1439)))&gt;0,
        SUMPRODUCT(--ISNUMBER(SEARCH(TRIM(Keywords!$B$2:$B$14),A1439)))&gt;0),"Neutral",
IF(SUMPRODUCT(--ISNUMBER(SEARCH(TRIM(Keywords!$A$2:$A$16),A1439)))&gt;0,"Positive",
IF(SUMPRODUCT(--ISNUMBER(SEARCH(TRIM(Keywords!$A$2:$B$14),A1439)))&gt;0,"Negative","Neutral")))</f>
        <v>Neutral</v>
      </c>
    </row>
    <row r="1440" spans="1:3" x14ac:dyDescent="0.25">
      <c r="A1440" t="s">
        <v>723</v>
      </c>
      <c r="B1440">
        <v>5</v>
      </c>
      <c r="C1440" t="str">
        <f>IF(AND(SUMPRODUCT(--ISNUMBER(SEARCH(TRIM(Keywords!$A$2:$A$16),A1440)))&gt;0,
        SUMPRODUCT(--ISNUMBER(SEARCH(TRIM(Keywords!$B$2:$B$14),A1440)))&gt;0),"Neutral",
IF(SUMPRODUCT(--ISNUMBER(SEARCH(TRIM(Keywords!$A$2:$A$16),A1440)))&gt;0,"Positive",
IF(SUMPRODUCT(--ISNUMBER(SEARCH(TRIM(Keywords!$A$2:$B$14),A1440)))&gt;0,"Negative","Neutral")))</f>
        <v>Neutral</v>
      </c>
    </row>
    <row r="1441" spans="1:3" hidden="1" x14ac:dyDescent="0.25">
      <c r="A1441" t="s">
        <v>72</v>
      </c>
      <c r="B1441">
        <v>4</v>
      </c>
      <c r="C1441" t="str">
        <f>IF(AND(SUMPRODUCT(--ISNUMBER(SEARCH(TRIM(Keywords!$A$2:$A$16),A1441)))&gt;0,
        SUMPRODUCT(--ISNUMBER(SEARCH(TRIM(Keywords!$B$2:$B$14),A1441)))&gt;0),"Neutral",
IF(SUMPRODUCT(--ISNUMBER(SEARCH(TRIM(Keywords!$A$2:$A$16),A1441)))&gt;0,"Positive",
IF(SUMPRODUCT(--ISNUMBER(SEARCH(TRIM(Keywords!$A$2:$B$14),A1441)))&gt;0,"Negative","Neutral")))</f>
        <v>Positive</v>
      </c>
    </row>
    <row r="1442" spans="1:3" hidden="1" x14ac:dyDescent="0.25">
      <c r="A1442" t="s">
        <v>2</v>
      </c>
      <c r="B1442">
        <v>5</v>
      </c>
      <c r="C1442" t="str">
        <f>IF(AND(SUMPRODUCT(--ISNUMBER(SEARCH(TRIM(Keywords!$A$2:$A$16),A1442)))&gt;0,
        SUMPRODUCT(--ISNUMBER(SEARCH(TRIM(Keywords!$B$2:$B$14),A1442)))&gt;0),"Neutral",
IF(SUMPRODUCT(--ISNUMBER(SEARCH(TRIM(Keywords!$A$2:$A$16),A1442)))&gt;0,"Positive",
IF(SUMPRODUCT(--ISNUMBER(SEARCH(TRIM(Keywords!$A$2:$B$14),A1442)))&gt;0,"Negative","Neutral")))</f>
        <v>Positive</v>
      </c>
    </row>
    <row r="1443" spans="1:3" hidden="1" x14ac:dyDescent="0.25">
      <c r="A1443" t="s">
        <v>72</v>
      </c>
      <c r="B1443">
        <v>5</v>
      </c>
      <c r="C1443" t="str">
        <f>IF(AND(SUMPRODUCT(--ISNUMBER(SEARCH(TRIM(Keywords!$A$2:$A$16),A1443)))&gt;0,
        SUMPRODUCT(--ISNUMBER(SEARCH(TRIM(Keywords!$B$2:$B$14),A1443)))&gt;0),"Neutral",
IF(SUMPRODUCT(--ISNUMBER(SEARCH(TRIM(Keywords!$A$2:$A$16),A1443)))&gt;0,"Positive",
IF(SUMPRODUCT(--ISNUMBER(SEARCH(TRIM(Keywords!$A$2:$B$14),A1443)))&gt;0,"Negative","Neutral")))</f>
        <v>Positive</v>
      </c>
    </row>
    <row r="1444" spans="1:3" hidden="1" x14ac:dyDescent="0.25">
      <c r="A1444" t="s">
        <v>724</v>
      </c>
      <c r="B1444">
        <v>5</v>
      </c>
      <c r="C1444" t="str">
        <f>IF(AND(SUMPRODUCT(--ISNUMBER(SEARCH(TRIM(Keywords!$A$2:$A$16),A1444)))&gt;0,
        SUMPRODUCT(--ISNUMBER(SEARCH(TRIM(Keywords!$B$2:$B$14),A1444)))&gt;0),"Neutral",
IF(SUMPRODUCT(--ISNUMBER(SEARCH(TRIM(Keywords!$A$2:$A$16),A1444)))&gt;0,"Positive",
IF(SUMPRODUCT(--ISNUMBER(SEARCH(TRIM(Keywords!$A$2:$B$14),A1444)))&gt;0,"Negative","Neutral")))</f>
        <v>Positive</v>
      </c>
    </row>
    <row r="1445" spans="1:3" x14ac:dyDescent="0.25">
      <c r="A1445" t="s">
        <v>725</v>
      </c>
      <c r="B1445">
        <v>3</v>
      </c>
      <c r="C1445" t="str">
        <f>IF(AND(SUMPRODUCT(--ISNUMBER(SEARCH(TRIM(Keywords!$A$2:$A$16),A1445)))&gt;0,
        SUMPRODUCT(--ISNUMBER(SEARCH(TRIM(Keywords!$B$2:$B$14),A1445)))&gt;0),"Neutral",
IF(SUMPRODUCT(--ISNUMBER(SEARCH(TRIM(Keywords!$A$2:$A$16),A1445)))&gt;0,"Positive",
IF(SUMPRODUCT(--ISNUMBER(SEARCH(TRIM(Keywords!$A$2:$B$14),A1445)))&gt;0,"Negative","Neutral")))</f>
        <v>Neutral</v>
      </c>
    </row>
    <row r="1446" spans="1:3" hidden="1" x14ac:dyDescent="0.25">
      <c r="A1446" t="s">
        <v>2</v>
      </c>
      <c r="B1446">
        <v>4</v>
      </c>
      <c r="C1446" t="str">
        <f>IF(AND(SUMPRODUCT(--ISNUMBER(SEARCH(TRIM(Keywords!$A$2:$A$16),A1446)))&gt;0,
        SUMPRODUCT(--ISNUMBER(SEARCH(TRIM(Keywords!$B$2:$B$14),A1446)))&gt;0),"Neutral",
IF(SUMPRODUCT(--ISNUMBER(SEARCH(TRIM(Keywords!$A$2:$A$16),A1446)))&gt;0,"Positive",
IF(SUMPRODUCT(--ISNUMBER(SEARCH(TRIM(Keywords!$A$2:$B$14),A1446)))&gt;0,"Negative","Neutral")))</f>
        <v>Positive</v>
      </c>
    </row>
    <row r="1447" spans="1:3" x14ac:dyDescent="0.25">
      <c r="A1447" t="s">
        <v>726</v>
      </c>
      <c r="B1447">
        <v>5</v>
      </c>
      <c r="C1447" t="str">
        <f>IF(AND(SUMPRODUCT(--ISNUMBER(SEARCH(TRIM(Keywords!$A$2:$A$16),A1447)))&gt;0,
        SUMPRODUCT(--ISNUMBER(SEARCH(TRIM(Keywords!$B$2:$B$14),A1447)))&gt;0),"Neutral",
IF(SUMPRODUCT(--ISNUMBER(SEARCH(TRIM(Keywords!$A$2:$A$16),A1447)))&gt;0,"Positive",
IF(SUMPRODUCT(--ISNUMBER(SEARCH(TRIM(Keywords!$A$2:$B$14),A1447)))&gt;0,"Negative","Neutral")))</f>
        <v>Neutral</v>
      </c>
    </row>
    <row r="1448" spans="1:3" x14ac:dyDescent="0.25">
      <c r="A1448" t="s">
        <v>727</v>
      </c>
      <c r="B1448">
        <v>5</v>
      </c>
      <c r="C1448" t="str">
        <f>IF(AND(SUMPRODUCT(--ISNUMBER(SEARCH(TRIM(Keywords!$A$2:$A$16),A1448)))&gt;0,
        SUMPRODUCT(--ISNUMBER(SEARCH(TRIM(Keywords!$B$2:$B$14),A1448)))&gt;0),"Neutral",
IF(SUMPRODUCT(--ISNUMBER(SEARCH(TRIM(Keywords!$A$2:$A$16),A1448)))&gt;0,"Positive",
IF(SUMPRODUCT(--ISNUMBER(SEARCH(TRIM(Keywords!$A$2:$B$14),A1448)))&gt;0,"Negative","Neutral")))</f>
        <v>Neutral</v>
      </c>
    </row>
    <row r="1449" spans="1:3" hidden="1" x14ac:dyDescent="0.25">
      <c r="A1449" t="s">
        <v>37</v>
      </c>
      <c r="B1449">
        <v>5</v>
      </c>
      <c r="C1449" t="str">
        <f>IF(AND(SUMPRODUCT(--ISNUMBER(SEARCH(TRIM(Keywords!$A$2:$A$16),A1449)))&gt;0,
        SUMPRODUCT(--ISNUMBER(SEARCH(TRIM(Keywords!$B$2:$B$14),A1449)))&gt;0),"Neutral",
IF(SUMPRODUCT(--ISNUMBER(SEARCH(TRIM(Keywords!$A$2:$A$16),A1449)))&gt;0,"Positive",
IF(SUMPRODUCT(--ISNUMBER(SEARCH(TRIM(Keywords!$A$2:$B$14),A1449)))&gt;0,"Negative","Neutral")))</f>
        <v>Positive</v>
      </c>
    </row>
    <row r="1450" spans="1:3" hidden="1" x14ac:dyDescent="0.25">
      <c r="A1450" t="s">
        <v>2</v>
      </c>
      <c r="B1450">
        <v>5</v>
      </c>
      <c r="C1450" t="str">
        <f>IF(AND(SUMPRODUCT(--ISNUMBER(SEARCH(TRIM(Keywords!$A$2:$A$16),A1450)))&gt;0,
        SUMPRODUCT(--ISNUMBER(SEARCH(TRIM(Keywords!$B$2:$B$14),A1450)))&gt;0),"Neutral",
IF(SUMPRODUCT(--ISNUMBER(SEARCH(TRIM(Keywords!$A$2:$A$16),A1450)))&gt;0,"Positive",
IF(SUMPRODUCT(--ISNUMBER(SEARCH(TRIM(Keywords!$A$2:$B$14),A1450)))&gt;0,"Negative","Neutral")))</f>
        <v>Positive</v>
      </c>
    </row>
    <row r="1451" spans="1:3" hidden="1" x14ac:dyDescent="0.25">
      <c r="A1451" t="s">
        <v>2</v>
      </c>
      <c r="B1451">
        <v>5</v>
      </c>
      <c r="C1451" t="str">
        <f>IF(AND(SUMPRODUCT(--ISNUMBER(SEARCH(TRIM(Keywords!$A$2:$A$16),A1451)))&gt;0,
        SUMPRODUCT(--ISNUMBER(SEARCH(TRIM(Keywords!$B$2:$B$14),A1451)))&gt;0),"Neutral",
IF(SUMPRODUCT(--ISNUMBER(SEARCH(TRIM(Keywords!$A$2:$A$16),A1451)))&gt;0,"Positive",
IF(SUMPRODUCT(--ISNUMBER(SEARCH(TRIM(Keywords!$A$2:$B$14),A1451)))&gt;0,"Negative","Neutral")))</f>
        <v>Positive</v>
      </c>
    </row>
    <row r="1452" spans="1:3" hidden="1" x14ac:dyDescent="0.25">
      <c r="A1452" t="s">
        <v>728</v>
      </c>
      <c r="B1452">
        <v>5</v>
      </c>
      <c r="C1452" t="str">
        <f>IF(AND(SUMPRODUCT(--ISNUMBER(SEARCH(TRIM(Keywords!$A$2:$A$16),A1452)))&gt;0,
        SUMPRODUCT(--ISNUMBER(SEARCH(TRIM(Keywords!$B$2:$B$14),A1452)))&gt;0),"Neutral",
IF(SUMPRODUCT(--ISNUMBER(SEARCH(TRIM(Keywords!$A$2:$A$16),A1452)))&gt;0,"Positive",
IF(SUMPRODUCT(--ISNUMBER(SEARCH(TRIM(Keywords!$A$2:$B$14),A1452)))&gt;0,"Negative","Neutral")))</f>
        <v>Positive</v>
      </c>
    </row>
    <row r="1453" spans="1:3" hidden="1" x14ac:dyDescent="0.25">
      <c r="A1453" t="s">
        <v>145</v>
      </c>
      <c r="B1453">
        <v>5</v>
      </c>
      <c r="C1453" t="str">
        <f>IF(AND(SUMPRODUCT(--ISNUMBER(SEARCH(TRIM(Keywords!$A$2:$A$16),A1453)))&gt;0,
        SUMPRODUCT(--ISNUMBER(SEARCH(TRIM(Keywords!$B$2:$B$14),A1453)))&gt;0),"Neutral",
IF(SUMPRODUCT(--ISNUMBER(SEARCH(TRIM(Keywords!$A$2:$A$16),A1453)))&gt;0,"Positive",
IF(SUMPRODUCT(--ISNUMBER(SEARCH(TRIM(Keywords!$A$2:$B$14),A1453)))&gt;0,"Negative","Neutral")))</f>
        <v>Positive</v>
      </c>
    </row>
    <row r="1454" spans="1:3" x14ac:dyDescent="0.25">
      <c r="A1454" t="s">
        <v>36</v>
      </c>
      <c r="B1454">
        <v>3</v>
      </c>
      <c r="C1454" t="str">
        <f>IF(AND(SUMPRODUCT(--ISNUMBER(SEARCH(TRIM(Keywords!$A$2:$A$16),A1454)))&gt;0,
        SUMPRODUCT(--ISNUMBER(SEARCH(TRIM(Keywords!$B$2:$B$14),A1454)))&gt;0),"Neutral",
IF(SUMPRODUCT(--ISNUMBER(SEARCH(TRIM(Keywords!$A$2:$A$16),A1454)))&gt;0,"Positive",
IF(SUMPRODUCT(--ISNUMBER(SEARCH(TRIM(Keywords!$A$2:$B$14),A1454)))&gt;0,"Negative","Neutral")))</f>
        <v>Neutral</v>
      </c>
    </row>
    <row r="1455" spans="1:3" x14ac:dyDescent="0.25">
      <c r="A1455" t="s">
        <v>729</v>
      </c>
      <c r="B1455">
        <v>3</v>
      </c>
      <c r="C1455" t="str">
        <f>IF(AND(SUMPRODUCT(--ISNUMBER(SEARCH(TRIM(Keywords!$A$2:$A$16),A1455)))&gt;0,
        SUMPRODUCT(--ISNUMBER(SEARCH(TRIM(Keywords!$B$2:$B$14),A1455)))&gt;0),"Neutral",
IF(SUMPRODUCT(--ISNUMBER(SEARCH(TRIM(Keywords!$A$2:$A$16),A1455)))&gt;0,"Positive",
IF(SUMPRODUCT(--ISNUMBER(SEARCH(TRIM(Keywords!$A$2:$B$14),A1455)))&gt;0,"Negative","Neutral")))</f>
        <v>Neutral</v>
      </c>
    </row>
    <row r="1456" spans="1:3" hidden="1" x14ac:dyDescent="0.25">
      <c r="A1456" t="s">
        <v>37</v>
      </c>
      <c r="B1456">
        <v>5</v>
      </c>
      <c r="C1456" t="str">
        <f>IF(AND(SUMPRODUCT(--ISNUMBER(SEARCH(TRIM(Keywords!$A$2:$A$16),A1456)))&gt;0,
        SUMPRODUCT(--ISNUMBER(SEARCH(TRIM(Keywords!$B$2:$B$14),A1456)))&gt;0),"Neutral",
IF(SUMPRODUCT(--ISNUMBER(SEARCH(TRIM(Keywords!$A$2:$A$16),A1456)))&gt;0,"Positive",
IF(SUMPRODUCT(--ISNUMBER(SEARCH(TRIM(Keywords!$A$2:$B$14),A1456)))&gt;0,"Negative","Neutral")))</f>
        <v>Positive</v>
      </c>
    </row>
    <row r="1457" spans="1:3" x14ac:dyDescent="0.25">
      <c r="A1457" t="s">
        <v>730</v>
      </c>
      <c r="B1457">
        <v>3</v>
      </c>
      <c r="C1457" t="str">
        <f>IF(AND(SUMPRODUCT(--ISNUMBER(SEARCH(TRIM(Keywords!$A$2:$A$16),A1457)))&gt;0,
        SUMPRODUCT(--ISNUMBER(SEARCH(TRIM(Keywords!$B$2:$B$14),A1457)))&gt;0),"Neutral",
IF(SUMPRODUCT(--ISNUMBER(SEARCH(TRIM(Keywords!$A$2:$A$16),A1457)))&gt;0,"Positive",
IF(SUMPRODUCT(--ISNUMBER(SEARCH(TRIM(Keywords!$A$2:$B$14),A1457)))&gt;0,"Negative","Neutral")))</f>
        <v>Neutral</v>
      </c>
    </row>
    <row r="1458" spans="1:3" x14ac:dyDescent="0.25">
      <c r="A1458" t="s">
        <v>731</v>
      </c>
      <c r="B1458">
        <v>5</v>
      </c>
      <c r="C1458" t="str">
        <f>IF(AND(SUMPRODUCT(--ISNUMBER(SEARCH(TRIM(Keywords!$A$2:$A$16),A1458)))&gt;0,
        SUMPRODUCT(--ISNUMBER(SEARCH(TRIM(Keywords!$B$2:$B$14),A1458)))&gt;0),"Neutral",
IF(SUMPRODUCT(--ISNUMBER(SEARCH(TRIM(Keywords!$A$2:$A$16),A1458)))&gt;0,"Positive",
IF(SUMPRODUCT(--ISNUMBER(SEARCH(TRIM(Keywords!$A$2:$B$14),A1458)))&gt;0,"Negative","Neutral")))</f>
        <v>Neutral</v>
      </c>
    </row>
    <row r="1459" spans="1:3" hidden="1" x14ac:dyDescent="0.25">
      <c r="A1459" t="s">
        <v>732</v>
      </c>
      <c r="B1459">
        <v>5</v>
      </c>
      <c r="C1459" t="str">
        <f>IF(AND(SUMPRODUCT(--ISNUMBER(SEARCH(TRIM(Keywords!$A$2:$A$16),A1459)))&gt;0,
        SUMPRODUCT(--ISNUMBER(SEARCH(TRIM(Keywords!$B$2:$B$14),A1459)))&gt;0),"Neutral",
IF(SUMPRODUCT(--ISNUMBER(SEARCH(TRIM(Keywords!$A$2:$A$16),A1459)))&gt;0,"Positive",
IF(SUMPRODUCT(--ISNUMBER(SEARCH(TRIM(Keywords!$A$2:$B$14),A1459)))&gt;0,"Negative","Neutral")))</f>
        <v>Positive</v>
      </c>
    </row>
    <row r="1460" spans="1:3" hidden="1" x14ac:dyDescent="0.25">
      <c r="A1460" t="s">
        <v>2</v>
      </c>
      <c r="B1460">
        <v>2</v>
      </c>
      <c r="C1460" t="str">
        <f>IF(AND(SUMPRODUCT(--ISNUMBER(SEARCH(TRIM(Keywords!$A$2:$A$16),A1460)))&gt;0,
        SUMPRODUCT(--ISNUMBER(SEARCH(TRIM(Keywords!$B$2:$B$14),A1460)))&gt;0),"Neutral",
IF(SUMPRODUCT(--ISNUMBER(SEARCH(TRIM(Keywords!$A$2:$A$16),A1460)))&gt;0,"Positive",
IF(SUMPRODUCT(--ISNUMBER(SEARCH(TRIM(Keywords!$A$2:$B$14),A1460)))&gt;0,"Negative","Neutral")))</f>
        <v>Positive</v>
      </c>
    </row>
    <row r="1461" spans="1:3" x14ac:dyDescent="0.25">
      <c r="A1461" t="s">
        <v>733</v>
      </c>
      <c r="B1461">
        <v>5</v>
      </c>
      <c r="C1461" t="str">
        <f>IF(AND(SUMPRODUCT(--ISNUMBER(SEARCH(TRIM(Keywords!$A$2:$A$16),A1461)))&gt;0,
        SUMPRODUCT(--ISNUMBER(SEARCH(TRIM(Keywords!$B$2:$B$14),A1461)))&gt;0),"Neutral",
IF(SUMPRODUCT(--ISNUMBER(SEARCH(TRIM(Keywords!$A$2:$A$16),A1461)))&gt;0,"Positive",
IF(SUMPRODUCT(--ISNUMBER(SEARCH(TRIM(Keywords!$A$2:$B$14),A1461)))&gt;0,"Negative","Neutral")))</f>
        <v>Neutral</v>
      </c>
    </row>
    <row r="1462" spans="1:3" hidden="1" x14ac:dyDescent="0.25">
      <c r="A1462" t="s">
        <v>2</v>
      </c>
      <c r="B1462">
        <v>3</v>
      </c>
      <c r="C1462" t="str">
        <f>IF(AND(SUMPRODUCT(--ISNUMBER(SEARCH(TRIM(Keywords!$A$2:$A$16),A1462)))&gt;0,
        SUMPRODUCT(--ISNUMBER(SEARCH(TRIM(Keywords!$B$2:$B$14),A1462)))&gt;0),"Neutral",
IF(SUMPRODUCT(--ISNUMBER(SEARCH(TRIM(Keywords!$A$2:$A$16),A1462)))&gt;0,"Positive",
IF(SUMPRODUCT(--ISNUMBER(SEARCH(TRIM(Keywords!$A$2:$B$14),A1462)))&gt;0,"Negative","Neutral")))</f>
        <v>Positive</v>
      </c>
    </row>
    <row r="1463" spans="1:3" hidden="1" x14ac:dyDescent="0.25">
      <c r="A1463" t="s">
        <v>734</v>
      </c>
      <c r="B1463">
        <v>5</v>
      </c>
      <c r="C1463" t="str">
        <f>IF(AND(SUMPRODUCT(--ISNUMBER(SEARCH(TRIM(Keywords!$A$2:$A$16),A1463)))&gt;0,
        SUMPRODUCT(--ISNUMBER(SEARCH(TRIM(Keywords!$B$2:$B$14),A1463)))&gt;0),"Neutral",
IF(SUMPRODUCT(--ISNUMBER(SEARCH(TRIM(Keywords!$A$2:$A$16),A1463)))&gt;0,"Positive",
IF(SUMPRODUCT(--ISNUMBER(SEARCH(TRIM(Keywords!$A$2:$B$14),A1463)))&gt;0,"Negative","Neutral")))</f>
        <v>Negative</v>
      </c>
    </row>
    <row r="1464" spans="1:3" hidden="1" x14ac:dyDescent="0.25">
      <c r="A1464" t="s">
        <v>735</v>
      </c>
      <c r="B1464">
        <v>5</v>
      </c>
      <c r="C1464" t="str">
        <f>IF(AND(SUMPRODUCT(--ISNUMBER(SEARCH(TRIM(Keywords!$A$2:$A$16),A1464)))&gt;0,
        SUMPRODUCT(--ISNUMBER(SEARCH(TRIM(Keywords!$B$2:$B$14),A1464)))&gt;0),"Neutral",
IF(SUMPRODUCT(--ISNUMBER(SEARCH(TRIM(Keywords!$A$2:$A$16),A1464)))&gt;0,"Positive",
IF(SUMPRODUCT(--ISNUMBER(SEARCH(TRIM(Keywords!$A$2:$B$14),A1464)))&gt;0,"Negative","Neutral")))</f>
        <v>Positive</v>
      </c>
    </row>
    <row r="1465" spans="1:3" x14ac:dyDescent="0.25">
      <c r="A1465" t="s">
        <v>736</v>
      </c>
      <c r="B1465">
        <v>1</v>
      </c>
      <c r="C1465" t="str">
        <f>IF(AND(SUMPRODUCT(--ISNUMBER(SEARCH(TRIM(Keywords!$A$2:$A$16),A1465)))&gt;0,
        SUMPRODUCT(--ISNUMBER(SEARCH(TRIM(Keywords!$B$2:$B$14),A1465)))&gt;0),"Neutral",
IF(SUMPRODUCT(--ISNUMBER(SEARCH(TRIM(Keywords!$A$2:$A$16),A1465)))&gt;0,"Positive",
IF(SUMPRODUCT(--ISNUMBER(SEARCH(TRIM(Keywords!$A$2:$B$14),A1465)))&gt;0,"Negative","Neutral")))</f>
        <v>Neutral</v>
      </c>
    </row>
    <row r="1466" spans="1:3" hidden="1" x14ac:dyDescent="0.25">
      <c r="A1466" t="s">
        <v>2</v>
      </c>
      <c r="B1466">
        <v>5</v>
      </c>
      <c r="C1466" t="str">
        <f>IF(AND(SUMPRODUCT(--ISNUMBER(SEARCH(TRIM(Keywords!$A$2:$A$16),A1466)))&gt;0,
        SUMPRODUCT(--ISNUMBER(SEARCH(TRIM(Keywords!$B$2:$B$14),A1466)))&gt;0),"Neutral",
IF(SUMPRODUCT(--ISNUMBER(SEARCH(TRIM(Keywords!$A$2:$A$16),A1466)))&gt;0,"Positive",
IF(SUMPRODUCT(--ISNUMBER(SEARCH(TRIM(Keywords!$A$2:$B$14),A1466)))&gt;0,"Negative","Neutral")))</f>
        <v>Positive</v>
      </c>
    </row>
    <row r="1467" spans="1:3" x14ac:dyDescent="0.25">
      <c r="A1467" t="s">
        <v>737</v>
      </c>
      <c r="B1467">
        <v>1</v>
      </c>
      <c r="C1467" t="str">
        <f>IF(AND(SUMPRODUCT(--ISNUMBER(SEARCH(TRIM(Keywords!$A$2:$A$16),A1467)))&gt;0,
        SUMPRODUCT(--ISNUMBER(SEARCH(TRIM(Keywords!$B$2:$B$14),A1467)))&gt;0),"Neutral",
IF(SUMPRODUCT(--ISNUMBER(SEARCH(TRIM(Keywords!$A$2:$A$16),A1467)))&gt;0,"Positive",
IF(SUMPRODUCT(--ISNUMBER(SEARCH(TRIM(Keywords!$A$2:$B$14),A1467)))&gt;0,"Negative","Neutral")))</f>
        <v>Neutral</v>
      </c>
    </row>
    <row r="1468" spans="1:3" x14ac:dyDescent="0.25">
      <c r="A1468" t="s">
        <v>738</v>
      </c>
      <c r="B1468">
        <v>1</v>
      </c>
      <c r="C1468" t="str">
        <f>IF(AND(SUMPRODUCT(--ISNUMBER(SEARCH(TRIM(Keywords!$A$2:$A$16),A1468)))&gt;0,
        SUMPRODUCT(--ISNUMBER(SEARCH(TRIM(Keywords!$B$2:$B$14),A1468)))&gt;0),"Neutral",
IF(SUMPRODUCT(--ISNUMBER(SEARCH(TRIM(Keywords!$A$2:$A$16),A1468)))&gt;0,"Positive",
IF(SUMPRODUCT(--ISNUMBER(SEARCH(TRIM(Keywords!$A$2:$B$14),A1468)))&gt;0,"Negative","Neutral")))</f>
        <v>Neutral</v>
      </c>
    </row>
    <row r="1469" spans="1:3" x14ac:dyDescent="0.25">
      <c r="A1469" t="s">
        <v>739</v>
      </c>
      <c r="B1469">
        <v>3</v>
      </c>
      <c r="C1469" t="str">
        <f>IF(AND(SUMPRODUCT(--ISNUMBER(SEARCH(TRIM(Keywords!$A$2:$A$16),A1469)))&gt;0,
        SUMPRODUCT(--ISNUMBER(SEARCH(TRIM(Keywords!$B$2:$B$14),A1469)))&gt;0),"Neutral",
IF(SUMPRODUCT(--ISNUMBER(SEARCH(TRIM(Keywords!$A$2:$A$16),A1469)))&gt;0,"Positive",
IF(SUMPRODUCT(--ISNUMBER(SEARCH(TRIM(Keywords!$A$2:$B$14),A1469)))&gt;0,"Negative","Neutral")))</f>
        <v>Neutral</v>
      </c>
    </row>
    <row r="1470" spans="1:3" hidden="1" x14ac:dyDescent="0.25">
      <c r="A1470" t="s">
        <v>740</v>
      </c>
      <c r="B1470">
        <v>1</v>
      </c>
      <c r="C1470" t="str">
        <f>IF(AND(SUMPRODUCT(--ISNUMBER(SEARCH(TRIM(Keywords!$A$2:$A$16),A1470)))&gt;0,
        SUMPRODUCT(--ISNUMBER(SEARCH(TRIM(Keywords!$B$2:$B$14),A1470)))&gt;0),"Neutral",
IF(SUMPRODUCT(--ISNUMBER(SEARCH(TRIM(Keywords!$A$2:$A$16),A1470)))&gt;0,"Positive",
IF(SUMPRODUCT(--ISNUMBER(SEARCH(TRIM(Keywords!$A$2:$B$14),A1470)))&gt;0,"Negative","Neutral")))</f>
        <v>Negative</v>
      </c>
    </row>
    <row r="1471" spans="1:3" hidden="1" x14ac:dyDescent="0.25">
      <c r="A1471" t="s">
        <v>180</v>
      </c>
      <c r="B1471">
        <v>5</v>
      </c>
      <c r="C1471" t="str">
        <f>IF(AND(SUMPRODUCT(--ISNUMBER(SEARCH(TRIM(Keywords!$A$2:$A$16),A1471)))&gt;0,
        SUMPRODUCT(--ISNUMBER(SEARCH(TRIM(Keywords!$B$2:$B$14),A1471)))&gt;0),"Neutral",
IF(SUMPRODUCT(--ISNUMBER(SEARCH(TRIM(Keywords!$A$2:$A$16),A1471)))&gt;0,"Positive",
IF(SUMPRODUCT(--ISNUMBER(SEARCH(TRIM(Keywords!$A$2:$B$14),A1471)))&gt;0,"Negative","Neutral")))</f>
        <v>Positive</v>
      </c>
    </row>
    <row r="1472" spans="1:3" hidden="1" x14ac:dyDescent="0.25">
      <c r="A1472" t="s">
        <v>741</v>
      </c>
      <c r="B1472">
        <v>5</v>
      </c>
      <c r="C1472" t="str">
        <f>IF(AND(SUMPRODUCT(--ISNUMBER(SEARCH(TRIM(Keywords!$A$2:$A$16),A1472)))&gt;0,
        SUMPRODUCT(--ISNUMBER(SEARCH(TRIM(Keywords!$B$2:$B$14),A1472)))&gt;0),"Neutral",
IF(SUMPRODUCT(--ISNUMBER(SEARCH(TRIM(Keywords!$A$2:$A$16),A1472)))&gt;0,"Positive",
IF(SUMPRODUCT(--ISNUMBER(SEARCH(TRIM(Keywords!$A$2:$B$14),A1472)))&gt;0,"Negative","Neutral")))</f>
        <v>Negative</v>
      </c>
    </row>
    <row r="1473" spans="1:3" x14ac:dyDescent="0.25">
      <c r="A1473" t="s">
        <v>742</v>
      </c>
      <c r="B1473">
        <v>5</v>
      </c>
      <c r="C1473" t="str">
        <f>IF(AND(SUMPRODUCT(--ISNUMBER(SEARCH(TRIM(Keywords!$A$2:$A$16),A1473)))&gt;0,
        SUMPRODUCT(--ISNUMBER(SEARCH(TRIM(Keywords!$B$2:$B$14),A1473)))&gt;0),"Neutral",
IF(SUMPRODUCT(--ISNUMBER(SEARCH(TRIM(Keywords!$A$2:$A$16),A1473)))&gt;0,"Positive",
IF(SUMPRODUCT(--ISNUMBER(SEARCH(TRIM(Keywords!$A$2:$B$14),A1473)))&gt;0,"Negative","Neutral")))</f>
        <v>Neutral</v>
      </c>
    </row>
    <row r="1474" spans="1:3" hidden="1" x14ac:dyDescent="0.25">
      <c r="A1474" t="s">
        <v>743</v>
      </c>
      <c r="B1474">
        <v>4</v>
      </c>
      <c r="C1474" t="str">
        <f>IF(AND(SUMPRODUCT(--ISNUMBER(SEARCH(TRIM(Keywords!$A$2:$A$16),A1474)))&gt;0,
        SUMPRODUCT(--ISNUMBER(SEARCH(TRIM(Keywords!$B$2:$B$14),A1474)))&gt;0),"Neutral",
IF(SUMPRODUCT(--ISNUMBER(SEARCH(TRIM(Keywords!$A$2:$A$16),A1474)))&gt;0,"Positive",
IF(SUMPRODUCT(--ISNUMBER(SEARCH(TRIM(Keywords!$A$2:$B$14),A1474)))&gt;0,"Negative","Neutral")))</f>
        <v>Positive</v>
      </c>
    </row>
    <row r="1475" spans="1:3" x14ac:dyDescent="0.25">
      <c r="A1475" t="s">
        <v>744</v>
      </c>
      <c r="B1475">
        <v>1</v>
      </c>
      <c r="C1475" t="str">
        <f>IF(AND(SUMPRODUCT(--ISNUMBER(SEARCH(TRIM(Keywords!$A$2:$A$16),A1475)))&gt;0,
        SUMPRODUCT(--ISNUMBER(SEARCH(TRIM(Keywords!$B$2:$B$14),A1475)))&gt;0),"Neutral",
IF(SUMPRODUCT(--ISNUMBER(SEARCH(TRIM(Keywords!$A$2:$A$16),A1475)))&gt;0,"Positive",
IF(SUMPRODUCT(--ISNUMBER(SEARCH(TRIM(Keywords!$A$2:$B$14),A1475)))&gt;0,"Negative","Neutral")))</f>
        <v>Neutral</v>
      </c>
    </row>
    <row r="1476" spans="1:3" hidden="1" x14ac:dyDescent="0.25">
      <c r="A1476" t="s">
        <v>2</v>
      </c>
      <c r="B1476">
        <v>4</v>
      </c>
      <c r="C1476" t="str">
        <f>IF(AND(SUMPRODUCT(--ISNUMBER(SEARCH(TRIM(Keywords!$A$2:$A$16),A1476)))&gt;0,
        SUMPRODUCT(--ISNUMBER(SEARCH(TRIM(Keywords!$B$2:$B$14),A1476)))&gt;0),"Neutral",
IF(SUMPRODUCT(--ISNUMBER(SEARCH(TRIM(Keywords!$A$2:$A$16),A1476)))&gt;0,"Positive",
IF(SUMPRODUCT(--ISNUMBER(SEARCH(TRIM(Keywords!$A$2:$B$14),A1476)))&gt;0,"Negative","Neutral")))</f>
        <v>Positive</v>
      </c>
    </row>
    <row r="1477" spans="1:3" x14ac:dyDescent="0.25">
      <c r="A1477" t="s">
        <v>508</v>
      </c>
      <c r="B1477">
        <v>5</v>
      </c>
      <c r="C1477" t="str">
        <f>IF(AND(SUMPRODUCT(--ISNUMBER(SEARCH(TRIM(Keywords!$A$2:$A$16),A1477)))&gt;0,
        SUMPRODUCT(--ISNUMBER(SEARCH(TRIM(Keywords!$B$2:$B$14),A1477)))&gt;0),"Neutral",
IF(SUMPRODUCT(--ISNUMBER(SEARCH(TRIM(Keywords!$A$2:$A$16),A1477)))&gt;0,"Positive",
IF(SUMPRODUCT(--ISNUMBER(SEARCH(TRIM(Keywords!$A$2:$B$14),A1477)))&gt;0,"Negative","Neutral")))</f>
        <v>Neutral</v>
      </c>
    </row>
    <row r="1478" spans="1:3" x14ac:dyDescent="0.25">
      <c r="A1478" t="s">
        <v>745</v>
      </c>
      <c r="B1478">
        <v>5</v>
      </c>
      <c r="C1478" t="str">
        <f>IF(AND(SUMPRODUCT(--ISNUMBER(SEARCH(TRIM(Keywords!$A$2:$A$16),A1478)))&gt;0,
        SUMPRODUCT(--ISNUMBER(SEARCH(TRIM(Keywords!$B$2:$B$14),A1478)))&gt;0),"Neutral",
IF(SUMPRODUCT(--ISNUMBER(SEARCH(TRIM(Keywords!$A$2:$A$16),A1478)))&gt;0,"Positive",
IF(SUMPRODUCT(--ISNUMBER(SEARCH(TRIM(Keywords!$A$2:$B$14),A1478)))&gt;0,"Negative","Neutral")))</f>
        <v>Neutral</v>
      </c>
    </row>
    <row r="1479" spans="1:3" x14ac:dyDescent="0.25">
      <c r="A1479" t="s">
        <v>34</v>
      </c>
      <c r="B1479">
        <v>5</v>
      </c>
      <c r="C1479" t="str">
        <f>IF(AND(SUMPRODUCT(--ISNUMBER(SEARCH(TRIM(Keywords!$A$2:$A$16),A1479)))&gt;0,
        SUMPRODUCT(--ISNUMBER(SEARCH(TRIM(Keywords!$B$2:$B$14),A1479)))&gt;0),"Neutral",
IF(SUMPRODUCT(--ISNUMBER(SEARCH(TRIM(Keywords!$A$2:$A$16),A1479)))&gt;0,"Positive",
IF(SUMPRODUCT(--ISNUMBER(SEARCH(TRIM(Keywords!$A$2:$B$14),A1479)))&gt;0,"Negative","Neutral")))</f>
        <v>Neutral</v>
      </c>
    </row>
    <row r="1480" spans="1:3" x14ac:dyDescent="0.25">
      <c r="A1480" t="s">
        <v>746</v>
      </c>
      <c r="B1480">
        <v>1</v>
      </c>
      <c r="C1480" t="str">
        <f>IF(AND(SUMPRODUCT(--ISNUMBER(SEARCH(TRIM(Keywords!$A$2:$A$16),A1480)))&gt;0,
        SUMPRODUCT(--ISNUMBER(SEARCH(TRIM(Keywords!$B$2:$B$14),A1480)))&gt;0),"Neutral",
IF(SUMPRODUCT(--ISNUMBER(SEARCH(TRIM(Keywords!$A$2:$A$16),A1480)))&gt;0,"Positive",
IF(SUMPRODUCT(--ISNUMBER(SEARCH(TRIM(Keywords!$A$2:$B$14),A1480)))&gt;0,"Negative","Neutral")))</f>
        <v>Neutral</v>
      </c>
    </row>
    <row r="1481" spans="1:3" hidden="1" x14ac:dyDescent="0.25">
      <c r="A1481" t="s">
        <v>2</v>
      </c>
      <c r="B1481">
        <v>5</v>
      </c>
      <c r="C1481" t="str">
        <f>IF(AND(SUMPRODUCT(--ISNUMBER(SEARCH(TRIM(Keywords!$A$2:$A$16),A1481)))&gt;0,
        SUMPRODUCT(--ISNUMBER(SEARCH(TRIM(Keywords!$B$2:$B$14),A1481)))&gt;0),"Neutral",
IF(SUMPRODUCT(--ISNUMBER(SEARCH(TRIM(Keywords!$A$2:$A$16),A1481)))&gt;0,"Positive",
IF(SUMPRODUCT(--ISNUMBER(SEARCH(TRIM(Keywords!$A$2:$B$14),A1481)))&gt;0,"Negative","Neutral")))</f>
        <v>Positive</v>
      </c>
    </row>
    <row r="1482" spans="1:3" hidden="1" x14ac:dyDescent="0.25">
      <c r="A1482" t="s">
        <v>2</v>
      </c>
      <c r="B1482">
        <v>5</v>
      </c>
      <c r="C1482" t="str">
        <f>IF(AND(SUMPRODUCT(--ISNUMBER(SEARCH(TRIM(Keywords!$A$2:$A$16),A1482)))&gt;0,
        SUMPRODUCT(--ISNUMBER(SEARCH(TRIM(Keywords!$B$2:$B$14),A1482)))&gt;0),"Neutral",
IF(SUMPRODUCT(--ISNUMBER(SEARCH(TRIM(Keywords!$A$2:$A$16),A1482)))&gt;0,"Positive",
IF(SUMPRODUCT(--ISNUMBER(SEARCH(TRIM(Keywords!$A$2:$B$14),A1482)))&gt;0,"Negative","Neutral")))</f>
        <v>Positive</v>
      </c>
    </row>
    <row r="1483" spans="1:3" x14ac:dyDescent="0.25">
      <c r="A1483" t="s">
        <v>747</v>
      </c>
      <c r="B1483">
        <v>3</v>
      </c>
      <c r="C1483" t="str">
        <f>IF(AND(SUMPRODUCT(--ISNUMBER(SEARCH(TRIM(Keywords!$A$2:$A$16),A1483)))&gt;0,
        SUMPRODUCT(--ISNUMBER(SEARCH(TRIM(Keywords!$B$2:$B$14),A1483)))&gt;0),"Neutral",
IF(SUMPRODUCT(--ISNUMBER(SEARCH(TRIM(Keywords!$A$2:$A$16),A1483)))&gt;0,"Positive",
IF(SUMPRODUCT(--ISNUMBER(SEARCH(TRIM(Keywords!$A$2:$B$14),A1483)))&gt;0,"Negative","Neutral")))</f>
        <v>Neutral</v>
      </c>
    </row>
    <row r="1484" spans="1:3" hidden="1" x14ac:dyDescent="0.25">
      <c r="A1484" t="s">
        <v>38</v>
      </c>
      <c r="B1484">
        <v>5</v>
      </c>
      <c r="C1484" t="str">
        <f>IF(AND(SUMPRODUCT(--ISNUMBER(SEARCH(TRIM(Keywords!$A$2:$A$16),A1484)))&gt;0,
        SUMPRODUCT(--ISNUMBER(SEARCH(TRIM(Keywords!$B$2:$B$14),A1484)))&gt;0),"Neutral",
IF(SUMPRODUCT(--ISNUMBER(SEARCH(TRIM(Keywords!$A$2:$A$16),A1484)))&gt;0,"Positive",
IF(SUMPRODUCT(--ISNUMBER(SEARCH(TRIM(Keywords!$A$2:$B$14),A1484)))&gt;0,"Negative","Neutral")))</f>
        <v>Positive</v>
      </c>
    </row>
    <row r="1485" spans="1:3" hidden="1" x14ac:dyDescent="0.25">
      <c r="A1485" t="s">
        <v>37</v>
      </c>
      <c r="B1485">
        <v>5</v>
      </c>
      <c r="C1485" t="str">
        <f>IF(AND(SUMPRODUCT(--ISNUMBER(SEARCH(TRIM(Keywords!$A$2:$A$16),A1485)))&gt;0,
        SUMPRODUCT(--ISNUMBER(SEARCH(TRIM(Keywords!$B$2:$B$14),A1485)))&gt;0),"Neutral",
IF(SUMPRODUCT(--ISNUMBER(SEARCH(TRIM(Keywords!$A$2:$A$16),A1485)))&gt;0,"Positive",
IF(SUMPRODUCT(--ISNUMBER(SEARCH(TRIM(Keywords!$A$2:$B$14),A1485)))&gt;0,"Negative","Neutral")))</f>
        <v>Positive</v>
      </c>
    </row>
    <row r="1486" spans="1:3" hidden="1" x14ac:dyDescent="0.25">
      <c r="A1486" t="s">
        <v>10</v>
      </c>
      <c r="B1486">
        <v>3</v>
      </c>
      <c r="C1486" t="str">
        <f>IF(AND(SUMPRODUCT(--ISNUMBER(SEARCH(TRIM(Keywords!$A$2:$A$16),A1486)))&gt;0,
        SUMPRODUCT(--ISNUMBER(SEARCH(TRIM(Keywords!$B$2:$B$14),A1486)))&gt;0),"Neutral",
IF(SUMPRODUCT(--ISNUMBER(SEARCH(TRIM(Keywords!$A$2:$A$16),A1486)))&gt;0,"Positive",
IF(SUMPRODUCT(--ISNUMBER(SEARCH(TRIM(Keywords!$A$2:$B$14),A1486)))&gt;0,"Negative","Neutral")))</f>
        <v>Positive</v>
      </c>
    </row>
    <row r="1487" spans="1:3" hidden="1" x14ac:dyDescent="0.25">
      <c r="A1487" t="s">
        <v>283</v>
      </c>
      <c r="B1487">
        <v>1</v>
      </c>
      <c r="C1487" t="str">
        <f>IF(AND(SUMPRODUCT(--ISNUMBER(SEARCH(TRIM(Keywords!$A$2:$A$16),A1487)))&gt;0,
        SUMPRODUCT(--ISNUMBER(SEARCH(TRIM(Keywords!$B$2:$B$14),A1487)))&gt;0),"Neutral",
IF(SUMPRODUCT(--ISNUMBER(SEARCH(TRIM(Keywords!$A$2:$A$16),A1487)))&gt;0,"Positive",
IF(SUMPRODUCT(--ISNUMBER(SEARCH(TRIM(Keywords!$A$2:$B$14),A1487)))&gt;0,"Negative","Neutral")))</f>
        <v>Positive</v>
      </c>
    </row>
    <row r="1488" spans="1:3" hidden="1" x14ac:dyDescent="0.25">
      <c r="A1488" t="s">
        <v>2</v>
      </c>
      <c r="B1488">
        <v>5</v>
      </c>
      <c r="C1488" t="str">
        <f>IF(AND(SUMPRODUCT(--ISNUMBER(SEARCH(TRIM(Keywords!$A$2:$A$16),A1488)))&gt;0,
        SUMPRODUCT(--ISNUMBER(SEARCH(TRIM(Keywords!$B$2:$B$14),A1488)))&gt;0),"Neutral",
IF(SUMPRODUCT(--ISNUMBER(SEARCH(TRIM(Keywords!$A$2:$A$16),A1488)))&gt;0,"Positive",
IF(SUMPRODUCT(--ISNUMBER(SEARCH(TRIM(Keywords!$A$2:$B$14),A1488)))&gt;0,"Negative","Neutral")))</f>
        <v>Positive</v>
      </c>
    </row>
    <row r="1489" spans="1:3" hidden="1" x14ac:dyDescent="0.25">
      <c r="A1489" t="s">
        <v>39</v>
      </c>
      <c r="B1489">
        <v>5</v>
      </c>
      <c r="C1489" t="str">
        <f>IF(AND(SUMPRODUCT(--ISNUMBER(SEARCH(TRIM(Keywords!$A$2:$A$16),A1489)))&gt;0,
        SUMPRODUCT(--ISNUMBER(SEARCH(TRIM(Keywords!$B$2:$B$14),A1489)))&gt;0),"Neutral",
IF(SUMPRODUCT(--ISNUMBER(SEARCH(TRIM(Keywords!$A$2:$A$16),A1489)))&gt;0,"Positive",
IF(SUMPRODUCT(--ISNUMBER(SEARCH(TRIM(Keywords!$A$2:$B$14),A1489)))&gt;0,"Negative","Neutral")))</f>
        <v>Positive</v>
      </c>
    </row>
    <row r="1490" spans="1:3" x14ac:dyDescent="0.25">
      <c r="A1490" t="s">
        <v>36</v>
      </c>
      <c r="B1490">
        <v>3</v>
      </c>
      <c r="C1490" t="str">
        <f>IF(AND(SUMPRODUCT(--ISNUMBER(SEARCH(TRIM(Keywords!$A$2:$A$16),A1490)))&gt;0,
        SUMPRODUCT(--ISNUMBER(SEARCH(TRIM(Keywords!$B$2:$B$14),A1490)))&gt;0),"Neutral",
IF(SUMPRODUCT(--ISNUMBER(SEARCH(TRIM(Keywords!$A$2:$A$16),A1490)))&gt;0,"Positive",
IF(SUMPRODUCT(--ISNUMBER(SEARCH(TRIM(Keywords!$A$2:$B$14),A1490)))&gt;0,"Negative","Neutral")))</f>
        <v>Neutral</v>
      </c>
    </row>
    <row r="1491" spans="1:3" hidden="1" x14ac:dyDescent="0.25">
      <c r="A1491" t="s">
        <v>748</v>
      </c>
      <c r="B1491">
        <v>5</v>
      </c>
      <c r="C1491" t="str">
        <f>IF(AND(SUMPRODUCT(--ISNUMBER(SEARCH(TRIM(Keywords!$A$2:$A$16),A1491)))&gt;0,
        SUMPRODUCT(--ISNUMBER(SEARCH(TRIM(Keywords!$B$2:$B$14),A1491)))&gt;0),"Neutral",
IF(SUMPRODUCT(--ISNUMBER(SEARCH(TRIM(Keywords!$A$2:$A$16),A1491)))&gt;0,"Positive",
IF(SUMPRODUCT(--ISNUMBER(SEARCH(TRIM(Keywords!$A$2:$B$14),A1491)))&gt;0,"Negative","Neutral")))</f>
        <v>Positive</v>
      </c>
    </row>
    <row r="1492" spans="1:3" x14ac:dyDescent="0.25">
      <c r="A1492" t="s">
        <v>749</v>
      </c>
      <c r="B1492">
        <v>5</v>
      </c>
      <c r="C1492" t="str">
        <f>IF(AND(SUMPRODUCT(--ISNUMBER(SEARCH(TRIM(Keywords!$A$2:$A$16),A1492)))&gt;0,
        SUMPRODUCT(--ISNUMBER(SEARCH(TRIM(Keywords!$B$2:$B$14),A1492)))&gt;0),"Neutral",
IF(SUMPRODUCT(--ISNUMBER(SEARCH(TRIM(Keywords!$A$2:$A$16),A1492)))&gt;0,"Positive",
IF(SUMPRODUCT(--ISNUMBER(SEARCH(TRIM(Keywords!$A$2:$B$14),A1492)))&gt;0,"Negative","Neutral")))</f>
        <v>Neutral</v>
      </c>
    </row>
    <row r="1493" spans="1:3" x14ac:dyDescent="0.25">
      <c r="A1493" t="s">
        <v>36</v>
      </c>
      <c r="B1493">
        <v>3</v>
      </c>
      <c r="C1493" t="str">
        <f>IF(AND(SUMPRODUCT(--ISNUMBER(SEARCH(TRIM(Keywords!$A$2:$A$16),A1493)))&gt;0,
        SUMPRODUCT(--ISNUMBER(SEARCH(TRIM(Keywords!$B$2:$B$14),A1493)))&gt;0),"Neutral",
IF(SUMPRODUCT(--ISNUMBER(SEARCH(TRIM(Keywords!$A$2:$A$16),A1493)))&gt;0,"Positive",
IF(SUMPRODUCT(--ISNUMBER(SEARCH(TRIM(Keywords!$A$2:$B$14),A1493)))&gt;0,"Negative","Neutral")))</f>
        <v>Neutral</v>
      </c>
    </row>
    <row r="1494" spans="1:3" x14ac:dyDescent="0.25">
      <c r="A1494" t="s">
        <v>750</v>
      </c>
      <c r="B1494">
        <v>3</v>
      </c>
      <c r="C1494" t="str">
        <f>IF(AND(SUMPRODUCT(--ISNUMBER(SEARCH(TRIM(Keywords!$A$2:$A$16),A1494)))&gt;0,
        SUMPRODUCT(--ISNUMBER(SEARCH(TRIM(Keywords!$B$2:$B$14),A1494)))&gt;0),"Neutral",
IF(SUMPRODUCT(--ISNUMBER(SEARCH(TRIM(Keywords!$A$2:$A$16),A1494)))&gt;0,"Positive",
IF(SUMPRODUCT(--ISNUMBER(SEARCH(TRIM(Keywords!$A$2:$B$14),A1494)))&gt;0,"Negative","Neutral")))</f>
        <v>Neutral</v>
      </c>
    </row>
    <row r="1495" spans="1:3" x14ac:dyDescent="0.25">
      <c r="A1495" t="s">
        <v>751</v>
      </c>
      <c r="B1495">
        <v>3</v>
      </c>
      <c r="C1495" t="str">
        <f>IF(AND(SUMPRODUCT(--ISNUMBER(SEARCH(TRIM(Keywords!$A$2:$A$16),A1495)))&gt;0,
        SUMPRODUCT(--ISNUMBER(SEARCH(TRIM(Keywords!$B$2:$B$14),A1495)))&gt;0),"Neutral",
IF(SUMPRODUCT(--ISNUMBER(SEARCH(TRIM(Keywords!$A$2:$A$16),A1495)))&gt;0,"Positive",
IF(SUMPRODUCT(--ISNUMBER(SEARCH(TRIM(Keywords!$A$2:$B$14),A1495)))&gt;0,"Negative","Neutral")))</f>
        <v>Neutral</v>
      </c>
    </row>
    <row r="1496" spans="1:3" hidden="1" x14ac:dyDescent="0.25">
      <c r="A1496" t="s">
        <v>735</v>
      </c>
      <c r="B1496">
        <v>5</v>
      </c>
      <c r="C1496" t="str">
        <f>IF(AND(SUMPRODUCT(--ISNUMBER(SEARCH(TRIM(Keywords!$A$2:$A$16),A1496)))&gt;0,
        SUMPRODUCT(--ISNUMBER(SEARCH(TRIM(Keywords!$B$2:$B$14),A1496)))&gt;0),"Neutral",
IF(SUMPRODUCT(--ISNUMBER(SEARCH(TRIM(Keywords!$A$2:$A$16),A1496)))&gt;0,"Positive",
IF(SUMPRODUCT(--ISNUMBER(SEARCH(TRIM(Keywords!$A$2:$B$14),A1496)))&gt;0,"Negative","Neutral")))</f>
        <v>Positive</v>
      </c>
    </row>
    <row r="1497" spans="1:3" hidden="1" x14ac:dyDescent="0.25">
      <c r="A1497" t="s">
        <v>39</v>
      </c>
      <c r="B1497">
        <v>5</v>
      </c>
      <c r="C1497" t="str">
        <f>IF(AND(SUMPRODUCT(--ISNUMBER(SEARCH(TRIM(Keywords!$A$2:$A$16),A1497)))&gt;0,
        SUMPRODUCT(--ISNUMBER(SEARCH(TRIM(Keywords!$B$2:$B$14),A1497)))&gt;0),"Neutral",
IF(SUMPRODUCT(--ISNUMBER(SEARCH(TRIM(Keywords!$A$2:$A$16),A1497)))&gt;0,"Positive",
IF(SUMPRODUCT(--ISNUMBER(SEARCH(TRIM(Keywords!$A$2:$B$14),A1497)))&gt;0,"Negative","Neutral")))</f>
        <v>Positive</v>
      </c>
    </row>
    <row r="1498" spans="1:3" hidden="1" x14ac:dyDescent="0.25">
      <c r="A1498" t="s">
        <v>2</v>
      </c>
      <c r="B1498">
        <v>3</v>
      </c>
      <c r="C1498" t="str">
        <f>IF(AND(SUMPRODUCT(--ISNUMBER(SEARCH(TRIM(Keywords!$A$2:$A$16),A1498)))&gt;0,
        SUMPRODUCT(--ISNUMBER(SEARCH(TRIM(Keywords!$B$2:$B$14),A1498)))&gt;0),"Neutral",
IF(SUMPRODUCT(--ISNUMBER(SEARCH(TRIM(Keywords!$A$2:$A$16),A1498)))&gt;0,"Positive",
IF(SUMPRODUCT(--ISNUMBER(SEARCH(TRIM(Keywords!$A$2:$B$14),A1498)))&gt;0,"Negative","Neutral")))</f>
        <v>Positive</v>
      </c>
    </row>
    <row r="1499" spans="1:3" hidden="1" x14ac:dyDescent="0.25">
      <c r="A1499" t="s">
        <v>752</v>
      </c>
      <c r="B1499">
        <v>5</v>
      </c>
      <c r="C1499" t="str">
        <f>IF(AND(SUMPRODUCT(--ISNUMBER(SEARCH(TRIM(Keywords!$A$2:$A$16),A1499)))&gt;0,
        SUMPRODUCT(--ISNUMBER(SEARCH(TRIM(Keywords!$B$2:$B$14),A1499)))&gt;0),"Neutral",
IF(SUMPRODUCT(--ISNUMBER(SEARCH(TRIM(Keywords!$A$2:$A$16),A1499)))&gt;0,"Positive",
IF(SUMPRODUCT(--ISNUMBER(SEARCH(TRIM(Keywords!$A$2:$B$14),A1499)))&gt;0,"Negative","Neutral")))</f>
        <v>Positive</v>
      </c>
    </row>
    <row r="1500" spans="1:3" hidden="1" x14ac:dyDescent="0.25">
      <c r="A1500" t="s">
        <v>2</v>
      </c>
      <c r="B1500">
        <v>5</v>
      </c>
      <c r="C1500" t="str">
        <f>IF(AND(SUMPRODUCT(--ISNUMBER(SEARCH(TRIM(Keywords!$A$2:$A$16),A1500)))&gt;0,
        SUMPRODUCT(--ISNUMBER(SEARCH(TRIM(Keywords!$B$2:$B$14),A1500)))&gt;0),"Neutral",
IF(SUMPRODUCT(--ISNUMBER(SEARCH(TRIM(Keywords!$A$2:$A$16),A1500)))&gt;0,"Positive",
IF(SUMPRODUCT(--ISNUMBER(SEARCH(TRIM(Keywords!$A$2:$B$14),A1500)))&gt;0,"Negative","Neutral")))</f>
        <v>Positive</v>
      </c>
    </row>
    <row r="1501" spans="1:3" hidden="1" x14ac:dyDescent="0.25">
      <c r="A1501" t="s">
        <v>753</v>
      </c>
      <c r="B1501">
        <v>5</v>
      </c>
      <c r="C1501" t="str">
        <f>IF(AND(SUMPRODUCT(--ISNUMBER(SEARCH(TRIM(Keywords!$A$2:$A$16),A1501)))&gt;0,
        SUMPRODUCT(--ISNUMBER(SEARCH(TRIM(Keywords!$B$2:$B$14),A1501)))&gt;0),"Neutral",
IF(SUMPRODUCT(--ISNUMBER(SEARCH(TRIM(Keywords!$A$2:$A$16),A1501)))&gt;0,"Positive",
IF(SUMPRODUCT(--ISNUMBER(SEARCH(TRIM(Keywords!$A$2:$B$14),A1501)))&gt;0,"Negative","Neutral")))</f>
        <v>Positive</v>
      </c>
    </row>
  </sheetData>
  <autoFilter ref="A1:D1501" xr:uid="{F4128695-CE14-4135-898C-3D3674ABFFEC}">
    <filterColumn colId="2">
      <filters>
        <filter val="Neutra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AA6F5-6F7E-4D88-8B1E-E8A9DA3F72B4}">
  <dimension ref="A1:D35"/>
  <sheetViews>
    <sheetView tabSelected="1" workbookViewId="0">
      <selection activeCell="D32" activeCellId="1" sqref="A32:A34 D32:D34"/>
    </sheetView>
  </sheetViews>
  <sheetFormatPr defaultColWidth="17.5703125" defaultRowHeight="31.5" customHeight="1" x14ac:dyDescent="0.25"/>
  <sheetData>
    <row r="1" spans="1:4" ht="31.5" customHeight="1" thickBot="1" x14ac:dyDescent="0.3">
      <c r="A1" s="5" t="s">
        <v>757</v>
      </c>
      <c r="B1" s="6" t="s">
        <v>758</v>
      </c>
      <c r="C1" s="6" t="s">
        <v>759</v>
      </c>
      <c r="D1" s="6" t="s">
        <v>760</v>
      </c>
    </row>
    <row r="2" spans="1:4" ht="31.5" customHeight="1" thickBot="1" x14ac:dyDescent="0.3">
      <c r="A2" s="7" t="s">
        <v>761</v>
      </c>
      <c r="B2" s="8">
        <v>4.54</v>
      </c>
      <c r="C2" s="8">
        <v>1256</v>
      </c>
      <c r="D2" s="9">
        <v>0.84</v>
      </c>
    </row>
    <row r="3" spans="1:4" ht="31.5" customHeight="1" thickBot="1" x14ac:dyDescent="0.3">
      <c r="A3" s="7" t="s">
        <v>762</v>
      </c>
      <c r="B3" s="8">
        <v>4.01</v>
      </c>
      <c r="C3" s="8">
        <v>244</v>
      </c>
      <c r="D3" s="9">
        <v>0.16</v>
      </c>
    </row>
    <row r="4" spans="1:4" ht="31.5" customHeight="1" thickBot="1" x14ac:dyDescent="0.3">
      <c r="A4" s="12" t="s">
        <v>763</v>
      </c>
      <c r="B4" s="13"/>
      <c r="C4" s="10">
        <v>1500</v>
      </c>
      <c r="D4" s="11">
        <v>1</v>
      </c>
    </row>
    <row r="8" spans="1:4" ht="31.5" customHeight="1" thickBot="1" x14ac:dyDescent="0.3"/>
    <row r="9" spans="1:4" ht="31.5" customHeight="1" thickBot="1" x14ac:dyDescent="0.3">
      <c r="A9" s="5" t="s">
        <v>764</v>
      </c>
      <c r="B9" s="6" t="s">
        <v>758</v>
      </c>
      <c r="C9" s="6" t="s">
        <v>759</v>
      </c>
      <c r="D9" s="6" t="s">
        <v>760</v>
      </c>
    </row>
    <row r="10" spans="1:4" ht="31.5" customHeight="1" thickBot="1" x14ac:dyDescent="0.3">
      <c r="A10" s="7" t="s">
        <v>765</v>
      </c>
      <c r="B10" s="8">
        <v>4.5</v>
      </c>
      <c r="C10" s="8">
        <v>248</v>
      </c>
      <c r="D10" s="9">
        <v>0.17</v>
      </c>
    </row>
    <row r="11" spans="1:4" ht="31.5" customHeight="1" thickBot="1" x14ac:dyDescent="0.3">
      <c r="A11" s="7" t="s">
        <v>766</v>
      </c>
      <c r="B11" s="8">
        <v>3.5</v>
      </c>
      <c r="C11" s="8">
        <v>460</v>
      </c>
      <c r="D11" s="9">
        <v>0.31</v>
      </c>
    </row>
    <row r="12" spans="1:4" ht="31.5" customHeight="1" thickBot="1" x14ac:dyDescent="0.3">
      <c r="A12" s="7" t="s">
        <v>767</v>
      </c>
      <c r="B12" s="8">
        <v>3.9</v>
      </c>
      <c r="C12" s="8">
        <v>453</v>
      </c>
      <c r="D12" s="9">
        <v>0.3</v>
      </c>
    </row>
    <row r="13" spans="1:4" ht="31.5" customHeight="1" thickBot="1" x14ac:dyDescent="0.3">
      <c r="A13" s="7" t="s">
        <v>768</v>
      </c>
      <c r="B13" s="8">
        <v>4.2</v>
      </c>
      <c r="C13" s="8">
        <v>339</v>
      </c>
      <c r="D13" s="9">
        <v>0.23</v>
      </c>
    </row>
    <row r="14" spans="1:4" ht="31.5" customHeight="1" thickBot="1" x14ac:dyDescent="0.3">
      <c r="A14" s="12" t="s">
        <v>763</v>
      </c>
      <c r="B14" s="13"/>
      <c r="C14" s="10">
        <v>1500</v>
      </c>
      <c r="D14" s="11">
        <v>1</v>
      </c>
    </row>
    <row r="16" spans="1:4" ht="31.5" customHeight="1" thickBot="1" x14ac:dyDescent="0.3"/>
    <row r="17" spans="1:4" ht="31.5" customHeight="1" thickBot="1" x14ac:dyDescent="0.3">
      <c r="A17" s="5" t="s">
        <v>769</v>
      </c>
      <c r="B17" s="6" t="s">
        <v>758</v>
      </c>
      <c r="C17" s="6" t="s">
        <v>759</v>
      </c>
      <c r="D17" s="6" t="s">
        <v>760</v>
      </c>
    </row>
    <row r="18" spans="1:4" ht="31.5" customHeight="1" thickBot="1" x14ac:dyDescent="0.3">
      <c r="A18" s="7" t="s">
        <v>0</v>
      </c>
      <c r="B18" s="8">
        <v>4.0999999999999996</v>
      </c>
      <c r="C18" s="8">
        <v>14</v>
      </c>
      <c r="D18" s="9">
        <v>0.01</v>
      </c>
    </row>
    <row r="19" spans="1:4" ht="31.5" customHeight="1" thickBot="1" x14ac:dyDescent="0.3">
      <c r="A19" s="7" t="s">
        <v>770</v>
      </c>
      <c r="B19" s="8">
        <v>0</v>
      </c>
      <c r="C19" s="8">
        <v>0</v>
      </c>
      <c r="D19" s="9">
        <v>0</v>
      </c>
    </row>
    <row r="20" spans="1:4" ht="31.5" customHeight="1" thickBot="1" x14ac:dyDescent="0.3">
      <c r="A20" s="7" t="s">
        <v>1</v>
      </c>
      <c r="B20" s="8">
        <v>0</v>
      </c>
      <c r="C20" s="8">
        <v>0</v>
      </c>
      <c r="D20" s="9">
        <v>0</v>
      </c>
    </row>
    <row r="21" spans="1:4" ht="31.5" customHeight="1" thickBot="1" x14ac:dyDescent="0.3">
      <c r="A21" s="7" t="s">
        <v>771</v>
      </c>
      <c r="B21" s="8">
        <v>0</v>
      </c>
      <c r="C21" s="8">
        <v>1486</v>
      </c>
      <c r="D21" s="9">
        <v>0.99</v>
      </c>
    </row>
    <row r="22" spans="1:4" ht="31.5" customHeight="1" thickBot="1" x14ac:dyDescent="0.3">
      <c r="A22" s="12" t="s">
        <v>763</v>
      </c>
      <c r="B22" s="13"/>
      <c r="C22" s="10">
        <v>1500</v>
      </c>
      <c r="D22" s="11">
        <v>1</v>
      </c>
    </row>
    <row r="23" spans="1:4" ht="31.5" customHeight="1" thickBot="1" x14ac:dyDescent="0.3"/>
    <row r="24" spans="1:4" ht="31.5" customHeight="1" thickBot="1" x14ac:dyDescent="0.3">
      <c r="A24" s="5" t="s">
        <v>772</v>
      </c>
      <c r="B24" s="6" t="s">
        <v>758</v>
      </c>
      <c r="C24" s="6" t="s">
        <v>759</v>
      </c>
      <c r="D24" s="6" t="s">
        <v>760</v>
      </c>
    </row>
    <row r="25" spans="1:4" ht="31.5" customHeight="1" thickBot="1" x14ac:dyDescent="0.3">
      <c r="A25" s="7" t="s">
        <v>773</v>
      </c>
      <c r="B25" s="8">
        <v>4.2</v>
      </c>
      <c r="C25" s="8">
        <v>1344</v>
      </c>
      <c r="D25" s="9">
        <v>0.9</v>
      </c>
    </row>
    <row r="26" spans="1:4" ht="31.5" customHeight="1" thickBot="1" x14ac:dyDescent="0.3">
      <c r="A26" s="7" t="s">
        <v>774</v>
      </c>
      <c r="B26" s="8">
        <v>2.2999999999999998</v>
      </c>
      <c r="C26" s="8">
        <v>96</v>
      </c>
      <c r="D26" s="9">
        <v>0.06</v>
      </c>
    </row>
    <row r="27" spans="1:4" ht="31.5" customHeight="1" thickBot="1" x14ac:dyDescent="0.3">
      <c r="A27" s="7" t="s">
        <v>775</v>
      </c>
      <c r="B27" s="8">
        <v>3.4</v>
      </c>
      <c r="C27" s="8">
        <v>60</v>
      </c>
      <c r="D27" s="9">
        <v>0.04</v>
      </c>
    </row>
    <row r="28" spans="1:4" ht="31.5" customHeight="1" thickBot="1" x14ac:dyDescent="0.3">
      <c r="A28" s="12" t="s">
        <v>763</v>
      </c>
      <c r="B28" s="13"/>
      <c r="C28" s="10">
        <v>1500</v>
      </c>
      <c r="D28" s="11">
        <v>1</v>
      </c>
    </row>
    <row r="30" spans="1:4" ht="31.5" customHeight="1" thickBot="1" x14ac:dyDescent="0.3"/>
    <row r="31" spans="1:4" ht="31.5" customHeight="1" thickBot="1" x14ac:dyDescent="0.3">
      <c r="A31" s="5" t="s">
        <v>776</v>
      </c>
      <c r="B31" s="6" t="s">
        <v>758</v>
      </c>
      <c r="C31" s="6" t="s">
        <v>759</v>
      </c>
      <c r="D31" s="6" t="s">
        <v>760</v>
      </c>
    </row>
    <row r="32" spans="1:4" ht="31.5" customHeight="1" thickBot="1" x14ac:dyDescent="0.3">
      <c r="A32" s="7" t="s">
        <v>0</v>
      </c>
      <c r="B32" s="8">
        <v>4.62</v>
      </c>
      <c r="C32" s="8">
        <v>790</v>
      </c>
      <c r="D32" s="9">
        <v>0.53</v>
      </c>
    </row>
    <row r="33" spans="1:4" ht="31.5" customHeight="1" thickBot="1" x14ac:dyDescent="0.3">
      <c r="A33" s="7" t="s">
        <v>770</v>
      </c>
      <c r="B33" s="8">
        <v>3.04</v>
      </c>
      <c r="C33" s="8">
        <v>420</v>
      </c>
      <c r="D33" s="9">
        <v>0.28000000000000003</v>
      </c>
    </row>
    <row r="34" spans="1:4" ht="31.5" customHeight="1" thickBot="1" x14ac:dyDescent="0.3">
      <c r="A34" s="7" t="s">
        <v>1</v>
      </c>
      <c r="B34" s="8">
        <v>1.8</v>
      </c>
      <c r="C34" s="8">
        <v>290</v>
      </c>
      <c r="D34" s="9">
        <v>0.19</v>
      </c>
    </row>
    <row r="35" spans="1:4" ht="31.5" customHeight="1" thickBot="1" x14ac:dyDescent="0.3">
      <c r="A35" s="12" t="s">
        <v>763</v>
      </c>
      <c r="B35" s="13"/>
      <c r="C35" s="10">
        <v>1500</v>
      </c>
      <c r="D35" s="11">
        <v>1</v>
      </c>
    </row>
  </sheetData>
  <mergeCells count="5">
    <mergeCell ref="A4:B4"/>
    <mergeCell ref="A14:B14"/>
    <mergeCell ref="A22:B22"/>
    <mergeCell ref="A28:B28"/>
    <mergeCell ref="A35:B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Keywords</vt:lpstr>
      <vt:lpstr>Reviews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 zar</dc:creator>
  <cp:lastModifiedBy>thin zar</cp:lastModifiedBy>
  <dcterms:created xsi:type="dcterms:W3CDTF">2025-12-08T16:09:23Z</dcterms:created>
  <dcterms:modified xsi:type="dcterms:W3CDTF">2025-12-08T17:42:00Z</dcterms:modified>
</cp:coreProperties>
</file>